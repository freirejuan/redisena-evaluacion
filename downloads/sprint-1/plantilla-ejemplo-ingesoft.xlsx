
<file path=[Content_Types].xml><?xml version="1.0" encoding="utf-8"?>
<ns0:Types xmlns:ns0="http://schemas.openxmlformats.org/package/2006/content-types">
  <ns0:Default Extension="fntdata" ContentType="application/x-fontdata"/>
  <ns0:Default Extension="jpeg" ContentType="image/jpeg"/>
  <ns0:Default Extension="png" ContentType="image/png"/>
  <ns0:Default Extension="rels" ContentType="application/vnd.openxmlformats-package.relationships+xml"/>
  <ns0:Default Extension="xml" ContentType="application/xml"/>
  <ns0:Override PartName="/xl/workbook.xml" ContentType="application/vnd.openxmlformats-officedocument.spreadsheetml.sheet.main+xml"/>
  <ns0:Override PartName="/xl/theme/theme1.xml" ContentType="application/vnd.openxmlformats-officedocument.theme+xml"/>
  <ns0:Override PartName="/xl/styles.xml" ContentType="application/vnd.openxmlformats-officedocument.spreadsheetml.styles+xml"/>
  <ns0:Override PartName="/xl/worksheets/sheet1.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4.xml" ContentType="application/vnd.openxmlformats-officedocument.spreadsheetml.worksheet+xml"/>
  <ns0:Override PartName="/xl/worksheets/sheet3.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2.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sharedStrings.xml" ContentType="application/vnd.openxmlformats-officedocument.spreadsheetml.sharedStrings+xml"/>
  <ns0:Override PartName="/xl/drawings/drawing3.xml" ContentType="application/vnd.openxmlformats-officedocument.drawing+xml"/>
  <ns0:Override PartName="/xl/charts/chart3.xml" ContentType="application/vnd.openxmlformats-officedocument.drawingml.chart+xml"/>
  <ns0:Override PartName="/xl/charts/style3.xml" ContentType="application/vnd.ms-office.chartstyle+xml"/>
  <ns0:Override PartName="/xl/charts/colors3.xml" ContentType="application/vnd.ms-office.chartcolorstyl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2="http://schemas.libreoffice.org/" xmlns:r="http://schemas.openxmlformats.org/officeDocument/2006/relationships">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arámetros" sheetId="2" state="visible" r:id="rId4"/>
    <sheet name="Catálogo" sheetId="3" state="visible" r:id="rId5"/>
    <sheet name="Touchpoints" sheetId="4" state="visible" r:id="rId6"/>
    <sheet name="Componentes" sheetId="5" state="visible" r:id="rId7"/>
    <sheet name="Resumen" sheetId="6" state="visible" r:id="rId8"/>
    <sheet name="Lente 1 · Carga docente" sheetId="8" state="visible" r:id="rId10"/>
    <sheet name="Lente 2 · Carga estudiante" sheetId="9" state="visible" r:id="rId11"/>
    <sheet name="Lente 3 · Equilibrio F-S" sheetId="10" state="visible" r:id="rId12"/>
    <sheet name="Alertas" sheetId="11" state="visible" r:id="rId13"/>
  </sheet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<sst xmlns="http://schemas.openxmlformats.org/spreadsheetml/2006/main" count="524" uniqueCount="332">
  <si>
    <t xml:space="preserve">Plantilla de plan operativo · Sprint 1</t>
  </si>
  <si>
    <t xml:space="preserve">Proyecto: Rediseña.Evaluacion · Un kit de Eutika</t>
  </si>
  <si>
    <t xml:space="preserve">v2.0 · 21 de abril de 2026 · incluye Herramienta de factibilidad integrada</t>
  </si>
  <si>
    <t xml:space="preserve">PROPÓSITO</t>
  </si>
  <si>
    <t xml:space="preserve">Esta plantilla es la única fuente de verdad del plan operativo de evaluación de tu asignatura para el Sprint 1. Captura tus decisiones y alimenta las otras tres piezas del kit: Herramienta de factibilidad, Blueprint completo y Calendario semanal.</t>
  </si>
  <si>
    <t xml:space="preserve">ORDEN DE USO</t>
  </si>
  <si>
    <t xml:space="preserve">1. Rellena la hoja «Parámetros» con los datos básicos del curso.</t>
  </si>
  <si>
    <t xml:space="preserve">2. Revisa el «Catálogo» de tipos de touchpoint. Los valores por defecto son orientativos; ajústalos si quieres partir de otra estimación.</t>
  </si>
  <si>
    <t xml:space="preserve">3. Describe tus touchpoints uno por fila en la hoja «Touchpoints». Para cada uno: elige tipo, define ocurrencias y semanas, introduce tus horas de dedicación (línea base y, opcionalmente, hipótesis con IA).</t>
  </si>
  <si>
    <t xml:space="preserve">4. En «Componentes» indica, por touchpoint, las decisiones operativas sobre auto/coevaluación, IA, evidencias, recogida, retroalimentación y mejora docente.</t>
  </si>
  <si>
    <t xml:space="preserve">5. Consulta «Resumen» para ver totales, delta base vs. IA, equilibrio formativo/sumativo y alertas de consistencia. Esta hoja NO se edita.</t>
  </si>
  <si>
    <t xml:space="preserve">6. Abre la Herramienta de factibilidad integrada (3 lentes): «Lente 1 · Carga docente», «Lente 2 · Carga estudiante», «Lente 3 · Equilibrio F/S». Cada lente lee la Plantilla en tiempo real.</t>
  </si>
  <si>
    <t xml:space="preserve">7. Revisa «Alertas» para ver el conjunto de banderas activas tras rellenar tu plan.</t>
  </si>
  <si>
    <t xml:space="preserve">CONVENCIONES DE COLOR</t>
  </si>
  <si>
    <t xml:space="preserve">Fondo beige · texto azul: celdas de entrada (las rellenas tú).</t>
  </si>
  <si>
    <t xml:space="preserve">Texto negro sin fondo: celdas con fórmula (no las edites).</t>
  </si>
  <si>
    <t xml:space="preserve">Fondo amarillo: alertas o desviaciones que conviene revisar.</t>
  </si>
  <si>
    <t xml:space="preserve">ENFOQUE DE LA HIPÓTESIS CON IA</t>
  </si>
  <si>
    <t xml:space="preserve">Para cada fase de cada touchpoint (diseño · ejecución · corrección · retroalimentación) puedes declarar una estimación «con IA» además de la línea base. Si no la declaras, el sistema asume impacto cero para esa fase. Los deltas que aparecen en la Herramienta de factibilidad son tu potencial de mejora, no un compromiso.</t>
  </si>
  <si>
    <t xml:space="preserve">Junto a cada estimación con IA tienes una columna «Práctica · fase» para describir brevemente qué uso concreto de IA hipotetizas (p. ej. «generación de ítems con LLM», «corrección asistida», «chatbot de dudas»). Documentar la práctica ayuda a recalibrar tras la experimentación y a compartir aprendizajes con otros docentes.</t>
  </si>
  <si>
    <t xml:space="preserve">Conviene tratar estas cifras como hipótesis iniciales que se validan experimentalmente durante el programa.</t>
  </si>
  <si>
    <t xml:space="preserve">DOCUMENTO DE REFERENCIA</t>
  </si>
  <si>
    <t xml:space="preserve">Todas las decisiones marco (taxonomía de touchpoints, unidad de tiempo, roles docentes, etc.) están detalladas en:</t>
  </si>
  <si>
    <t xml:space="preserve">Nota_decisiones_Sprint1.docx · v1.1 · Sprint_V1/</t>
  </si>
  <si>
    <t xml:space="preserve">Parámetros del curso</t>
  </si>
  <si>
    <t xml:space="preserve">Rellena los datos básicos. Se usan en los cálculos de las otras hojas.</t>
  </si>
  <si>
    <t xml:space="preserve">Parámetro</t>
  </si>
  <si>
    <t xml:space="preserve">Valor</t>
  </si>
  <si>
    <t xml:space="preserve">Notas</t>
  </si>
  <si>
    <t xml:space="preserve">Asignatura</t>
  </si>
  <si>
    <t xml:space="preserve">Ingeniería del Software</t>
  </si>
  <si>
    <t xml:space="preserve">Código de la asignatura</t>
  </si>
  <si>
    <t xml:space="preserve">IS-15320</t>
  </si>
  <si>
    <t xml:space="preserve">Profesor responsable</t>
  </si>
  <si>
    <t xml:space="preserve">María López (coordinadora) + Juan García (profesor)</t>
  </si>
  <si>
    <t xml:space="preserve">Cuatrimestre</t>
  </si>
  <si>
    <t xml:space="preserve">Q2</t>
  </si>
  <si>
    <t xml:space="preserve">Valor aceptado: 1, 2 o Anual</t>
  </si>
  <si>
    <t xml:space="preserve">Año académico</t>
  </si>
  <si>
    <t xml:space="preserve">2026/27</t>
  </si>
  <si>
    <t xml:space="preserve">Número de estudiantes</t>
  </si>
  <si>
    <t xml:space="preserve">Tamaño del grupo. Número entero.</t>
  </si>
  <si>
    <t xml:space="preserve">Semanas del cuatrimestre</t>
  </si>
  <si>
    <t xml:space="preserve">Habitualmente 15.</t>
  </si>
  <si>
    <t xml:space="preserve">Horas lectivas semanales</t>
  </si>
  <si>
    <t xml:space="preserve">Horas presenciales semanales del grupo.</t>
  </si>
  <si>
    <t xml:space="preserve">Política IA general de la asignatura</t>
  </si>
  <si>
    <t xml:space="preserve">Declarada</t>
  </si>
  <si>
    <t xml:space="preserve">Valor por defecto; sobrescribible por touchpoint.</t>
  </si>
  <si>
    <t xml:space="preserve">Rol del usuario</t>
  </si>
  <si>
    <t xml:space="preserve">Coordinador + profesor</t>
  </si>
  <si>
    <t xml:space="preserve">Solo profesor · Coordinador + profesor</t>
  </si>
  <si>
    <t xml:space="preserve">Nombre del coordinador (si aplica)</t>
  </si>
  <si>
    <t xml:space="preserve">María López</t>
  </si>
  <si>
    <t xml:space="preserve">Rellenar solo si el rol incluye coordinación entre grupos.</t>
  </si>
  <si>
    <t xml:space="preserve">ECTS de la asignatura</t>
  </si>
  <si>
    <t xml:space="preserve">ECTS totales. Se usa para calcular el presupuesto de horas estudiante.</t>
  </si>
  <si>
    <t xml:space="preserve">Horas por ECTS</t>
  </si>
  <si>
    <t xml:space="preserve">Referencia EEES: 1 ECTS = 25 h de trabajo del estudiante.</t>
  </si>
  <si>
    <t xml:space="preserve">Umbral pico docente (h/sem)</t>
  </si>
  <si>
    <t xml:space="preserve">Por encima de este valor semanal, la Lente 1 lo marca como pico.</t>
  </si>
  <si>
    <t xml:space="preserve">Umbral pico estudiante (h/sem)</t>
  </si>
  <si>
    <t xml:space="preserve">Por encima de este valor semanal, la Lente 2 lo marca como pico.</t>
  </si>
  <si>
    <t xml:space="preserve">Dedicación docente promedio (h/sem)</t>
  </si>
  <si>
    <t xml:space="preserve">Presupuesto sostenible. Incluye clase, diseño, corrección, tutorías, preparación y lo demás.</t>
  </si>
  <si>
    <t xml:space="preserve">Dedicación estudiante promedio (h/sem)</t>
  </si>
  <si>
    <t xml:space="preserve">Equivalente medio: ECTS × 25 / nº semanas. Para 6 ECTS y 15 sem ≈ 10 h/sem.</t>
  </si>
  <si>
    <t xml:space="preserve">Catálogo de tipos de touchpoint</t>
  </si>
  <si>
    <t xml:space="preserve">Valores orientativos por defecto. Puedes ajustar las horas si tu asignatura tiene otra realidad.</t>
  </si>
  <si>
    <t xml:space="preserve">ID</t>
  </si>
  <si>
    <t xml:space="preserve">Nombre</t>
  </si>
  <si>
    <t xml:space="preserve">Naturaleza</t>
  </si>
  <si>
    <t xml:space="preserve">Formato</t>
  </si>
  <si>
    <t xml:space="preserve">IA def.</t>
  </si>
  <si>
    <t xml:space="preserve">h diseño</t>
  </si>
  <si>
    <t xml:space="preserve">h ejec/ocur</t>
  </si>
  <si>
    <t xml:space="preserve">h corr/est</t>
  </si>
  <si>
    <t xml:space="preserve">h fback/est</t>
  </si>
  <si>
    <t xml:space="preserve">h estudiante/ocur</t>
  </si>
  <si>
    <t xml:space="preserve">T1</t>
  </si>
  <si>
    <t xml:space="preserve">Examen / prueba escrita</t>
  </si>
  <si>
    <t xml:space="preserve">Sumativo</t>
  </si>
  <si>
    <t xml:space="preserve">Puntual</t>
  </si>
  <si>
    <t xml:space="preserve">Restringida</t>
  </si>
  <si>
    <t xml:space="preserve">T2</t>
  </si>
  <si>
    <t xml:space="preserve">Entrega / trabajo</t>
  </si>
  <si>
    <t xml:space="preserve">Mixto</t>
  </si>
  <si>
    <t xml:space="preserve">Puntual o serie</t>
  </si>
  <si>
    <t xml:space="preserve">T3</t>
  </si>
  <si>
    <t xml:space="preserve">Presentación / defensa oral</t>
  </si>
  <si>
    <t xml:space="preserve">T4</t>
  </si>
  <si>
    <t xml:space="preserve">Observación en aula</t>
  </si>
  <si>
    <t xml:space="preserve">Formativo</t>
  </si>
  <si>
    <t xml:space="preserve">Continuo</t>
  </si>
  <si>
    <t xml:space="preserve">No aplica</t>
  </si>
  <si>
    <t xml:space="preserve">T5</t>
  </si>
  <si>
    <t xml:space="preserve">Autoevaluación</t>
  </si>
  <si>
    <t xml:space="preserve">Abierta</t>
  </si>
  <si>
    <t xml:space="preserve">T6</t>
  </si>
  <si>
    <t xml:space="preserve">Evaluación entre pares</t>
  </si>
  <si>
    <t xml:space="preserve">T7</t>
  </si>
  <si>
    <t xml:space="preserve">Tutoría 1a1</t>
  </si>
  <si>
    <t xml:space="preserve">Serie</t>
  </si>
  <si>
    <t xml:space="preserve">T8</t>
  </si>
  <si>
    <t xml:space="preserve">Checkpoint / hito de avance</t>
  </si>
  <si>
    <t xml:space="preserve">T9</t>
  </si>
  <si>
    <t xml:space="preserve">Canal de comunicación continua</t>
  </si>
  <si>
    <t xml:space="preserve">T-Otro</t>
  </si>
  <si>
    <t xml:space="preserve">(Añade aquí un tipo propio si ninguno del catálogo encaja)</t>
  </si>
  <si>
    <t xml:space="preserve">Leyenda:</t>
  </si>
  <si>
    <t xml:space="preserve">Formativo · Sumativo · Mixto</t>
  </si>
  <si>
    <t xml:space="preserve">Puntual (una ocurrencia) · Serie (varias) · Continuo (a lo largo de un periodo)</t>
  </si>
  <si>
    <t xml:space="preserve">IA</t>
  </si>
  <si>
    <t xml:space="preserve">Restringida · Declarada · Abierta · No aplica</t>
  </si>
  <si>
    <t xml:space="preserve">Touchpoints de la asignatura</t>
  </si>
  <si>
    <t xml:space="preserve">Describe cada touchpoint en una fila. Las columnas en amarillo son entradas; el resto son cálculos.</t>
  </si>
  <si>
    <t xml:space="preserve">Definición</t>
  </si>
  <si>
    <t xml:space="preserve">Horas docente · línea base</t>
  </si>
  <si>
    <t xml:space="preserve">Horas docente · hipótesis con IA</t>
  </si>
  <si>
    <t xml:space="preserve">Prácticas IA hipotetizadas</t>
  </si>
  <si>
    <t xml:space="preserve">Delta</t>
  </si>
  <si>
    <t xml:space="preserve">Horas estudiante</t>
  </si>
  <si>
    <t xml:space="preserve">Detalle</t>
  </si>
  <si>
    <t xml:space="preserve">Nombre del touchpoint</t>
  </si>
  <si>
    <t xml:space="preserve">Tipo</t>
  </si>
  <si>
    <t xml:space="preserve">Política IA</t>
  </si>
  <si>
    <t xml:space="preserve">Responsable</t>
  </si>
  <si>
    <t xml:space="preserve">Ocurrencias</t>
  </si>
  <si>
    <t xml:space="preserve">Sem. inicio</t>
  </si>
  <si>
    <t xml:space="preserve">Sem. fin</t>
  </si>
  <si>
    <t xml:space="preserve">Peso sumativo (%)</t>
  </si>
  <si>
    <t xml:space="preserve">TOTAL base (h)</t>
  </si>
  <si>
    <t xml:space="preserve">TOTAL IA (h)</t>
  </si>
  <si>
    <t xml:space="preserve">Práctica · diseño</t>
  </si>
  <si>
    <t xml:space="preserve">Práctica · ejecución</t>
  </si>
  <si>
    <t xml:space="preserve">Práctica · corrección</t>
  </si>
  <si>
    <t xml:space="preserve">Práctica · feedback</t>
  </si>
  <si>
    <t xml:space="preserve">Δ horas</t>
  </si>
  <si>
    <t xml:space="preserve">Δ %</t>
  </si>
  <si>
    <t xml:space="preserve">h est/ocur</t>
  </si>
  <si>
    <t xml:space="preserve">Total h est</t>
  </si>
  <si>
    <t xml:space="preserve">Rúbrica breve</t>
  </si>
  <si>
    <t xml:space="preserve">Evidencia</t>
  </si>
  <si>
    <t xml:space="preserve">TP1</t>
  </si>
  <si>
    <t xml:space="preserve">Prueba diagnóstica de conceptos previos</t>
  </si>
  <si>
    <t xml:space="preserve">Profesor</t>
  </si>
  <si>
    <t xml:space="preserve">IA agrupa errores por pregunta y genera lista de conceptos a reforzar en las primeras sesiones.</t>
  </si>
  <si>
    <t xml:space="preserve">Sí — 6 dimensiones</t>
  </si>
  <si>
    <t xml:space="preserve">Respuestas individuales</t>
  </si>
  <si>
    <t xml:space="preserve">Sirve como diagnóstico rápido al inicio de curso; sin peso en nota.</t>
  </si>
  <si>
    <t xml:space="preserve">TP2</t>
  </si>
  <si>
    <t xml:space="preserve">Quiz semanal de teoría</t>
  </si>
  <si>
    <t xml:space="preserve">IA genera 3 variantes del quiz a partir del temario; elijo y adapto la que mejor encaja con la sesión.</t>
  </si>
  <si>
    <t xml:space="preserve">Autoevaluación automática</t>
  </si>
  <si>
    <t xml:space="preserve">Respuestas + justificación corta</t>
  </si>
  <si>
    <t xml:space="preserve">Se lanza los jueves al cerrar la sesión teórica; el estudiante tiene hasta el domingo.</t>
  </si>
  <si>
    <t xml:space="preserve">TP3</t>
  </si>
  <si>
    <t xml:space="preserve">Entrega P1 — Análisis de requisitos</t>
  </si>
  <si>
    <t xml:space="preserve">IA redacta primer borrador de feedback personalizado por estudiante a partir de la rúbrica; yo edito antes de enviar.</t>
  </si>
  <si>
    <t xml:space="preserve">Sí — 5 criterios</t>
  </si>
  <si>
    <t xml:space="preserve">Documento de análisis (PDF)</t>
  </si>
  <si>
    <t xml:space="preserve">Primera entrega seria; dejo margen de reescritura tras feedback.</t>
  </si>
  <si>
    <t xml:space="preserve">TP4</t>
  </si>
  <si>
    <t xml:space="preserve">Examen parcial teórico</t>
  </si>
  <si>
    <t xml:space="preserve">Solucionario + banda de corrección</t>
  </si>
  <si>
    <t xml:space="preserve">Examen papel</t>
  </si>
  <si>
    <t xml:space="preserve">Sumativo tradicional; sin IA en corrección por decisión del departamento.</t>
  </si>
  <si>
    <t xml:space="preserve">TP5</t>
  </si>
  <si>
    <t xml:space="preserve">Entrega P2 — Diseño arquitectónico</t>
  </si>
  <si>
    <t xml:space="preserve">Ambos</t>
  </si>
  <si>
    <t xml:space="preserve">Detección automática de inconsistencias en diagramas UML y trazabilidad; validación humana de casos frontera.</t>
  </si>
  <si>
    <t xml:space="preserve">Feedback individualizado a partir de checklist arquitectónico; IA plantea sugerencias de mejora y yo las valido.</t>
  </si>
  <si>
    <t xml:space="preserve">Sí — 6 criterios</t>
  </si>
  <si>
    <t xml:space="preserve">Documento + diagramas UML</t>
  </si>
  <si>
    <t xml:space="preserve">Reparto con coordinadora: yo corrijo 20, ella las otras 20.</t>
  </si>
  <si>
    <t xml:space="preserve">TP6</t>
  </si>
  <si>
    <t xml:space="preserve">Entrega P3 — Implementación y pruebas</t>
  </si>
  <si>
    <t xml:space="preserve">Pendiente — evaluar si uso IA para primera lectura de código entregado.</t>
  </si>
  <si>
    <t xml:space="preserve">Sí — 7 criterios técnicos + 2 de proceso</t>
  </si>
  <si>
    <t xml:space="preserve">Repositorio + memoria técnica</t>
  </si>
  <si>
    <t xml:space="preserve">Entrega pesada; los estudiantes pueden usar IA libremente pero deben declarar uso.</t>
  </si>
  <si>
    <t xml:space="preserve">TP7</t>
  </si>
  <si>
    <t xml:space="preserve">Examen final</t>
  </si>
  <si>
    <t xml:space="preserve">Solucionario + rúbrica de pregunta abierta</t>
  </si>
  <si>
    <t xml:space="preserve">Reparto con coordinadora: diseñamos juntas, corregimos por secciones.</t>
  </si>
  <si>
    <t xml:space="preserve">TP8</t>
  </si>
  <si>
    <t xml:space="preserve">Tutoría 1 a 1</t>
  </si>
  <si>
    <t xml:space="preserve">Coordinador</t>
  </si>
  <si>
    <t xml:space="preserve">Antes de cada tutoría, IA resume el rendimiento reciente del estudiante (entregas, quizzes) para preparar en 5 min.</t>
  </si>
  <si>
    <t xml:space="preserve">Notas de seguimiento</t>
  </si>
  <si>
    <t xml:space="preserve">Ficha de tutoría</t>
  </si>
  <si>
    <t xml:space="preserve">Coordinadora lleva las tutorías; yo recibo resumen.</t>
  </si>
  <si>
    <t xml:space="preserve">TP9</t>
  </si>
  <si>
    <t xml:space="preserve">TP10</t>
  </si>
  <si>
    <t xml:space="preserve">TP11</t>
  </si>
  <si>
    <t xml:space="preserve">TP12</t>
  </si>
  <si>
    <t xml:space="preserve">TP13</t>
  </si>
  <si>
    <t xml:space="preserve">TP14</t>
  </si>
  <si>
    <t xml:space="preserve">TP15</t>
  </si>
  <si>
    <t xml:space="preserve">TP16</t>
  </si>
  <si>
    <t xml:space="preserve">TP17</t>
  </si>
  <si>
    <t xml:space="preserve">TP18</t>
  </si>
  <si>
    <t xml:space="preserve">TP19</t>
  </si>
  <si>
    <t xml:space="preserve">TP20</t>
  </si>
  <si>
    <t xml:space="preserve">TP21</t>
  </si>
  <si>
    <t xml:space="preserve">TP22</t>
  </si>
  <si>
    <t xml:space="preserve">TP23</t>
  </si>
  <si>
    <t xml:space="preserve">TP24</t>
  </si>
  <si>
    <t xml:space="preserve">TP25</t>
  </si>
  <si>
    <t xml:space="preserve">TOTALES</t>
  </si>
  <si>
    <t xml:space="preserve">Matriz de componentes C2-C7 por touchpoint</t>
  </si>
  <si>
    <t xml:space="preserve">Para cada touchpoint indica qué decides en cada componente. Usa texto corto o una etiqueta.</t>
  </si>
  <si>
    <t xml:space="preserve">C2 · Auto/coevaluación</t>
  </si>
  <si>
    <t xml:space="preserve">C3 · IA (política específica)</t>
  </si>
  <si>
    <t xml:space="preserve">C4 · Evidencias y criterios</t>
  </si>
  <si>
    <t xml:space="preserve">C5 · Recogida de información</t>
  </si>
  <si>
    <t xml:space="preserve">C6 · Retroalimentación</t>
  </si>
  <si>
    <t xml:space="preserve">C7 · Mejora docente</t>
  </si>
  <si>
    <t xml:space="preserve">Transv.</t>
  </si>
  <si>
    <t xml:space="preserve">Decisiones transversales (todo el curso)</t>
  </si>
  <si>
    <t xml:space="preserve">Resumen · Plan operativo de evaluación</t>
  </si>
  <si>
    <t xml:space="preserve">Cálculos agregados a partir de la hoja Touchpoints. Esta hoja no se edita.</t>
  </si>
  <si>
    <t xml:space="preserve">Asignatura:</t>
  </si>
  <si>
    <t xml:space="preserve">Profesor:</t>
  </si>
  <si>
    <t xml:space="preserve">Grupo (n estudiantes):</t>
  </si>
  <si>
    <t xml:space="preserve">Totales</t>
  </si>
  <si>
    <t xml:space="preserve">Número de touchpoints definidos</t>
  </si>
  <si>
    <t xml:space="preserve">Horas docente · línea base (totales)</t>
  </si>
  <si>
    <t xml:space="preserve">Horas docente · hipótesis con IA (totales)</t>
  </si>
  <si>
    <t xml:space="preserve">Δ horas (base − IA)</t>
  </si>
  <si>
    <t xml:space="preserve">Δ % (potencial de ahorro con IA)</t>
  </si>
  <si>
    <t xml:space="preserve">Horas estudiante (totales del curso)</t>
  </si>
  <si>
    <t xml:space="preserve">Peso sumativo declarado (%)</t>
  </si>
  <si>
    <t xml:space="preserve">Desglose por fase · horas docente</t>
  </si>
  <si>
    <t xml:space="preserve">Fase</t>
  </si>
  <si>
    <t xml:space="preserve">Línea base</t>
  </si>
  <si>
    <t xml:space="preserve">Hipótesis IA</t>
  </si>
  <si>
    <t xml:space="preserve">Δ</t>
  </si>
  <si>
    <t xml:space="preserve">Diseño</t>
  </si>
  <si>
    <t xml:space="preserve">Ejecución (× ocurrencias)</t>
  </si>
  <si>
    <t xml:space="preserve">Corrección (× ocurrencias × estudiantes)</t>
  </si>
  <si>
    <t xml:space="preserve">Retroalimentación (× ocurrencias × estudiantes)</t>
  </si>
  <si>
    <t xml:space="preserve">Equilibrio formativo / sumativo</t>
  </si>
  <si>
    <t xml:space="preserve"># touchpoints</t>
  </si>
  <si>
    <t xml:space="preserve">Σ peso (%)</t>
  </si>
  <si>
    <t xml:space="preserve">Σ horas docente base</t>
  </si>
  <si>
    <t xml:space="preserve">Alertas de consistencia</t>
  </si>
  <si>
    <t xml:space="preserve">Peso sumativo suma distinto de 100</t>
  </si>
  <si>
    <t xml:space="preserve">Hay al menos un touchpoint definido</t>
  </si>
  <si>
    <t xml:space="preserve">Existe al menos un touchpoint formativo</t>
  </si>
  <si>
    <t xml:space="preserve">Horas IA no superan línea base (a nivel total)</t>
  </si>
  <si>
    <t xml:space="preserve">Se declaró hipótesis con IA en algún touchpoint</t>
  </si>
  <si>
    <t xml:space="preserve">Cronograma semanal</t>
  </si>
  <si>
    <t xml:space="preserve">Distribución por semana según perfil realista por fase (diseño 2 sem pre-inicio, ejecución entre inicio-fin, corrección y feedback 2 sem post-fin). Alimenta las tres lentes. Esta hoja NO se edita.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</si>
  <si>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</si>
  <si>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</si>
  <si>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</si>
  <si>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</si>
  <si>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</si>
  <si>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</si>
  <si>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</si>
  <si>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</si>
  <si>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</si>
  <si>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</si>
  <si>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</si>
  <si>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</si>
  <si>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</si>
  <si>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</si>
  <si>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</si>
  <si>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Total</t>
  </si>
  <si>
    <t xml:space="preserve">TOTAL</t>
  </si>
  <si>
    <t xml:space="preserve">Totales por semana</t>
  </si>
  <si>
    <t xml:space="preserve">Lente 1 · Carga docente</t>
  </si>
  <si>
    <t xml:space="preserve">Visualiza la carga docente total, su reparto coordinador/profesor, la curva semanal y los picos que superan el umbral. Esta hoja no se edita.</t>
  </si>
  <si>
    <t xml:space="preserve">Indicadores clave</t>
  </si>
  <si>
    <t xml:space="preserve">Horas docente · línea base (Σ)</t>
  </si>
  <si>
    <t xml:space="preserve">Horas docente · hipótesis con IA (Σ)</t>
  </si>
  <si>
    <t xml:space="preserve">Δ horas (potencial de ahorro)</t>
  </si>
  <si>
    <t xml:space="preserve">Reparto por responsable (línea base)</t>
  </si>
  <si>
    <t xml:space="preserve">Σ h base</t>
  </si>
  <si>
    <t xml:space="preserve">Σ h IA</t>
  </si>
  <si>
    <t xml:space="preserve">Δ h</t>
  </si>
  <si>
    <t xml:space="preserve">(sin asignar)</t>
  </si>
  <si>
    <t xml:space="preserve">Curva semanal · horas docente</t>
  </si>
  <si>
    <t xml:space="preserve">Semana</t>
  </si>
  <si>
    <t xml:space="preserve">Base</t>
  </si>
  <si>
    <t xml:space="preserve">¿Pico base?</t>
  </si>
  <si>
    <t xml:space="preserve">Umbral</t>
  </si>
  <si>
    <t xml:space="preserve">Sostenibilidad del presupuesto docente</t>
  </si>
  <si>
    <t xml:space="preserve">Presupuesto total docente (h)</t>
  </si>
  <si>
    <t xml:space="preserve">Consumo línea base (%)</t>
  </si>
  <si>
    <t xml:space="preserve">Consumo hipótesis IA (%)</t>
  </si>
  <si>
    <t xml:space="preserve">El presupuesto se calcula como dedicación promedio × semanas. Si el consumo supera el 100 %, la planificación no cabe en el presupuesto declarado en el Sprint 0. Ajusta TPs, delega coevaluación o explora hipótesis IA con potencial de ahorro real.</t>
  </si>
  <si>
    <t xml:space="preserve">Lente 2 · Carga estudiante</t>
  </si>
  <si>
    <t xml:space="preserve">Carga total del estudiante, margen sobre presupuesto ECTS, curva semanal y picos. Esta hoja no se edita.</t>
  </si>
  <si>
    <t xml:space="preserve">Presupuesto de horas estudiante (ECTS × h/ECTS)</t>
  </si>
  <si>
    <t xml:space="preserve">Horas estudiante declaradas en el plan de evaluación</t>
  </si>
  <si>
    <t xml:space="preserve">Margen de horas (presupuesto − declaradas)</t>
  </si>
  <si>
    <t xml:space="preserve">% del presupuesto consumido por evaluación</t>
  </si>
  <si>
    <t xml:space="preserve">Curva semanal · horas estudiante</t>
  </si>
  <si>
    <t xml:space="preserve">h est</t>
  </si>
  <si>
    <t xml:space="preserve">¿Pico?</t>
  </si>
  <si>
    <t xml:space="preserve">Sumativo solapado</t>
  </si>
  <si>
    <t xml:space="preserve">Lente 3 · Equilibrio formativo / sumativo</t>
  </si>
  <si>
    <t xml:space="preserve">Composición del plan por naturaleza, distribución temporal y comprobación de formativo previo al primer sumativo. Esta hoja no se edita.</t>
  </si>
  <si>
    <t xml:space="preserve">Composición por naturaleza</t>
  </si>
  <si>
    <t xml:space="preserve"># TPs</t>
  </si>
  <si>
    <t xml:space="preserve">% TPs</t>
  </si>
  <si>
    <t xml:space="preserve">Σ h docente base</t>
  </si>
  <si>
    <t xml:space="preserve">Distribución temporal (semana de inicio)</t>
  </si>
  <si>
    <t xml:space="preserve"># Formativos</t>
  </si>
  <si>
    <t xml:space="preserve"># Sumativos</t>
  </si>
  <si>
    <t xml:space="preserve"># Mixtos</t>
  </si>
  <si>
    <t xml:space="preserve">Alertas de equilibrio</t>
  </si>
  <si>
    <t xml:space="preserve">Hay al menos un formativo antes del primer sumativo</t>
  </si>
  <si>
    <t xml:space="preserve">Peso sumativo del plan suma 100%</t>
  </si>
  <si>
    <t xml:space="preserve">Porcentaje de formativos ≥ 30% del plan</t>
  </si>
  <si>
    <t xml:space="preserve">Alertas consolidadas</t>
  </si>
  <si>
    <t xml:space="preserve">Todas las banderas activas tras rellenar tu plan. Haz clic en la hoja correspondiente para ver el detalle.</t>
  </si>
  <si>
    <t xml:space="preserve">Lente / fuente</t>
  </si>
  <si>
    <t xml:space="preserve">Control</t>
  </si>
  <si>
    <t xml:space="preserve">Estado</t>
  </si>
  <si>
    <t xml:space="preserve">Lente 1 · docente</t>
  </si>
  <si>
    <t xml:space="preserve">Hay al menos una semana con pico docente</t>
  </si>
  <si>
    <t xml:space="preserve">Lente 2 · estudiante</t>
  </si>
  <si>
    <t xml:space="preserve">Presupuesto ECTS respetado</t>
  </si>
  <si>
    <t xml:space="preserve">Picos semanales estudiante</t>
  </si>
  <si>
    <t xml:space="preserve">Solapamiento de dos o más sumativos/mixtos en la misma semana</t>
  </si>
  <si>
    <t xml:space="preserve">Lente 3 · equilibrio</t>
  </si>
  <si>
    <t xml:space="preserve">Primer formativo antes del primer sumativo</t>
  </si>
  <si>
    <t xml:space="preserve">Peso sumativo suma 100%</t>
  </si>
  <si>
    <t xml:space="preserve">≥30% del plan es formativo</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</si>
</sst>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
  </numFmts>
  <fonts count="24">
    <font>
      <sz val="11"/>
      <color theme="1"/>
      <name val="Calibri"/>
      <family val="2"/>
      <charset val="1"/>
    </font>
    <font>
      <sz val="10"/>
      <name val="Arial"/>
      <family val="0"/>
    </font>
    <font>
      <sz val="10"/>
      <name val="Arial"/>
      <family val="0"/>
    </font>
    <font>
      <sz val="10"/>
      <name val="Arial"/>
      <family val="0"/>
    </font>
    <font>
      <b val="true"/>
      <sz val="16"/>
      <color rgb="FF2E5597"/>
      <name val="Calibri"/>
      <family val="0"/>
      <charset val="1"/>
    </font>
    <font>
      <i val="true"/>
      <sz val="10"/>
      <color rgb="FF595959"/>
      <name val="Calibri"/>
      <family val="0"/>
      <charset val="1"/>
    </font>
    <font>
      <b val="true"/>
      <sz val="12"/>
      <color rgb="FF2E5597"/>
      <name val="Calibri"/>
      <family val="0"/>
      <charset val="1"/>
    </font>
    <font>
      <sz val="11"/>
      <color rgb="FF1F1F1F"/>
      <name val="Calibri"/>
      <family val="0"/>
      <charset val="1"/>
    </font>
    <font>
      <b val="true"/>
      <sz val="11"/>
      <color rgb="FFFFFFFF"/>
      <name val="Calibri"/>
      <family val="0"/>
      <charset val="1"/>
    </font>
    <font>
      <b val="true"/>
      <sz val="11"/>
      <color rgb="FF1F1F1F"/>
      <name val="Calibri"/>
      <family val="0"/>
      <charset val="1"/>
    </font>
    <font>
      <sz val="11"/>
      <color rgb="FF0000CC"/>
      <name val="Calibri"/>
      <family val="0"/>
      <charset val="1"/>
    </font>
    <font>
      <sz val="9"/>
      <color rgb="FF595959"/>
      <name val="Calibri"/>
      <family val="0"/>
      <charset val="1"/>
    </font>
    <font>
      <i val="true"/>
      <sz val="11"/>
      <color rgb="FF7F7F7F"/>
      <name val="Calibri"/>
      <family val="0"/>
      <charset val="1"/>
    </font>
    <font>
      <sz val="11"/>
      <color rgb="FF000000"/>
      <name val="Calibri"/>
      <family val="0"/>
      <charset val="1"/>
    </font>
    <font>
      <sz val="11"/>
      <color rgb="FF006100"/>
      <name val="Calibri"/>
      <family val="0"/>
      <charset val="1"/>
    </font>
    <font>
      <b val="true"/>
      <sz val="12"/>
      <color rgb="FFFFFFFF"/>
      <name val="Calibri"/>
      <family val="0"/>
      <charset val="1"/>
    </font>
    <font>
      <b val="true"/>
      <sz val="11"/>
      <color rgb="FF2E5597"/>
      <name val="Calibri"/>
      <family val="0"/>
      <charset val="1"/>
    </font>
    <font>
      <b val="true"/>
      <sz val="14"/>
      <color rgb="FF2E5597"/>
      <name val="Calibri"/>
      <family val="0"/>
      <charset val="1"/>
    </font>
    <font>
      <b val="true"/>
      <sz val="10"/>
      <name val="Calibri"/>
      <family val="0"/>
      <charset val="1"/>
    </font>
    <font>
      <sz val="11"/>
      <name val="Calibri"/>
      <family val="0"/>
      <charset val="1"/>
    </font>
    <font>
      <i val="true"/>
      <sz val="10"/>
      <color rgb="FF666666"/>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5">
    <fill>
      <patternFill patternType="none"/>
    </fill>
    <fill>
      <patternFill patternType="gray125"/>
    </fill>
    <fill>
      <patternFill patternType="solid">
        <fgColor rgb="FF2E5597"/>
        <bgColor rgb="FF2C4365"/>
      </patternFill>
    </fill>
    <fill>
      <patternFill patternType="solid">
        <fgColor rgb="FFD9E2F3"/>
        <bgColor rgb="FFD0E1F9"/>
      </patternFill>
    </fill>
    <fill>
      <patternFill patternType="solid">
        <fgColor rgb="FFFFF8E1"/>
        <bgColor rgb="FFFFF2CC"/>
      </patternFill>
    </fill>
    <fill>
      <patternFill patternType="solid">
        <fgColor rgb="FFF2F6FB"/>
        <bgColor rgb="FFFFFFFF"/>
      </patternFill>
    </fill>
    <fill>
      <patternFill patternType="solid">
        <fgColor rgb="FFD0E1F9"/>
        <bgColor rgb="FFD9E2F3"/>
      </patternFill>
    </fill>
    <fill>
      <patternFill patternType="solid">
        <fgColor rgb="FFFFE8B5"/>
        <bgColor rgb="FFF7E4C6"/>
      </patternFill>
    </fill>
    <fill>
      <patternFill patternType="solid">
        <fgColor rgb="FFF7E4C6"/>
        <bgColor rgb="FFFFE8B5"/>
      </patternFill>
    </fill>
    <fill>
      <patternFill patternType="solid">
        <fgColor rgb="FFE2E2E2"/>
        <bgColor rgb="FFEAE0F2"/>
      </patternFill>
    </fill>
    <fill>
      <patternFill patternType="solid">
        <fgColor rgb="FFD9EAD3"/>
        <bgColor rgb="FFE2E2E2"/>
      </patternFill>
    </fill>
    <fill>
      <patternFill patternType="solid">
        <fgColor rgb="FFEAE0F2"/>
        <bgColor rgb="FFE2E2E2"/>
      </patternFill>
    </fill>
    <fill>
      <patternFill patternType="solid">
        <fgColor rgb="FF4472C4"/>
        <bgColor rgb="FF4A7EBB"/>
      </patternFill>
    </fill>
    <fill>
      <patternFill patternType="solid">
        <fgColor rgb="FF4A7729"/>
        <bgColor rgb="FF666666"/>
      </patternFill>
    </fill>
    <fill>
      <patternFill patternType="solid">
        <fgColor rgb="FF2C4365"/>
        <bgColor rgb="FF2E559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8" fontId="13" fillId="0" borderId="1" xfId="0" applyFont="true" applyBorder="true" applyAlignment="true" applyProtection="false">
      <alignment horizontal="center" vertical="center" textRotation="0" wrapText="true" indent="0" shrinkToFit="false"/>
      <protection locked="true" hidden="false"/>
    </xf>
    <xf numFmtId="167" fontId="8" fillId="2" borderId="1" xfId="0"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15" fillId="12" borderId="0" xfId="0" applyFont="true" applyBorder="true" applyAlignment="true" applyProtection="false">
      <alignment horizontal="left" vertical="center" textRotation="0" wrapText="true" indent="0" shrinkToFit="false"/>
      <protection locked="true" hidden="false"/>
    </xf>
    <xf numFmtId="164" fontId="15" fillId="13" borderId="0" xfId="0" applyFont="true" applyBorder="true" applyAlignment="true" applyProtection="false">
      <alignment horizontal="left" vertical="center" textRotation="0" wrapText="true" indent="0" shrinkToFit="false"/>
      <protection locked="true" hidden="false"/>
    </xf>
    <xf numFmtId="167" fontId="17" fillId="0" borderId="1" xfId="0" applyFont="true" applyBorder="true" applyAlignment="true" applyProtection="false">
      <alignment horizontal="center" vertical="center" textRotation="0" wrapText="true" indent="0" shrinkToFit="false"/>
      <protection locked="true" hidden="false"/>
    </xf>
    <xf numFmtId="168" fontId="17"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8" fillId="1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b val="1"/>
        <color rgb="FF9C5700"/>
      </font>
      <fill>
        <patternFill>
          <bgColor rgb="FFFFEB9C"/>
        </patternFill>
      </fill>
    </dxf>
    <dxf>
      <font>
        <b val="1"/>
        <color rgb="FF9C5700"/>
      </font>
      <fill>
        <patternFill>
          <bgColor rgb="FFFFEB9C"/>
        </patternFill>
      </fill>
    </dxf>
    <dxf>
      <font>
        <name val="Calibri"/>
        <charset val="1"/>
        <family val="0"/>
        <b val="1"/>
        <color rgb="FF7F6000"/>
      </font>
      <fill>
        <patternFill>
          <bgColor rgb="FFFFF2CC"/>
        </patternFill>
      </fill>
    </dxf>
  </dxfs>
  <colors>
    <indexedColors>
      <rgbColor rgb="FF000000"/>
      <rgbColor rgb="FFFFFFFF"/>
      <rgbColor rgb="FFFF0000"/>
      <rgbColor rgb="FF00FF00"/>
      <rgbColor rgb="FF0000CC"/>
      <rgbColor rgb="FFFFF2CC"/>
      <rgbColor rgb="FFFF00FF"/>
      <rgbColor rgb="FF00FFFF"/>
      <rgbColor rgb="FF800000"/>
      <rgbColor rgb="FF006100"/>
      <rgbColor rgb="FF000080"/>
      <rgbColor rgb="FF7F6000"/>
      <rgbColor rgb="FF800080"/>
      <rgbColor rgb="FF4A7EBB"/>
      <rgbColor rgb="FFBFBFBF"/>
      <rgbColor rgb="FF7F7F7F"/>
      <rgbColor rgb="FFE2E2E2"/>
      <rgbColor rgb="FFBE4B48"/>
      <rgbColor rgb="FFFFF8E1"/>
      <rgbColor rgb="FFF2F6FB"/>
      <rgbColor rgb="FF660066"/>
      <rgbColor rgb="FFFF8080"/>
      <rgbColor rgb="FF2E5597"/>
      <rgbColor rgb="FFD0E1F9"/>
      <rgbColor rgb="FF000080"/>
      <rgbColor rgb="FFFF00FF"/>
      <rgbColor rgb="FFFFFF00"/>
      <rgbColor rgb="FF00FFFF"/>
      <rgbColor rgb="FF800080"/>
      <rgbColor rgb="FF800000"/>
      <rgbColor rgb="FF4F81BD"/>
      <rgbColor rgb="FF0000FF"/>
      <rgbColor rgb="FF00CCFF"/>
      <rgbColor rgb="FFD9E2F3"/>
      <rgbColor rgb="FFD9EAD3"/>
      <rgbColor rgb="FFFFEB9C"/>
      <rgbColor rgb="FFD9D9D9"/>
      <rgbColor rgb="FFF7E4C6"/>
      <rgbColor rgb="FFEAE0F2"/>
      <rgbColor rgb="FFFFE8B5"/>
      <rgbColor rgb="FF4472C4"/>
      <rgbColor rgb="FF33CCCC"/>
      <rgbColor rgb="FF99CC00"/>
      <rgbColor rgb="FFFFCC00"/>
      <rgbColor rgb="FFFF9900"/>
      <rgbColor rgb="FFFF6600"/>
      <rgbColor rgb="FF666666"/>
      <rgbColor rgb="FF878787"/>
      <rgbColor rgb="FF003366"/>
      <rgbColor rgb="FF4A7729"/>
      <rgbColor rgb="FF003300"/>
      <rgbColor rgb="FF333300"/>
      <rgbColor rgb="FF9C5700"/>
      <rgbColor rgb="FF595959"/>
      <rgbColor rgb="FF2C4365"/>
      <rgbColor rgb="FF1F1F1F"/>
    </indexedColors>
  </colors>
</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worksheet" Target="worksheets/sheet1.xml" /><ns0:Relationship Id="rId4" Type="http://schemas.openxmlformats.org/officeDocument/2006/relationships/worksheet" Target="worksheets/sheet2.xml" /><ns0:Relationship Id="rId5" Type="http://schemas.openxmlformats.org/officeDocument/2006/relationships/worksheet" Target="worksheets/sheet3.xml" /><ns0:Relationship Id="rId6" Type="http://schemas.openxmlformats.org/officeDocument/2006/relationships/worksheet" Target="worksheets/sheet4.xml" /><ns0:Relationship Id="rId7" Type="http://schemas.openxmlformats.org/officeDocument/2006/relationships/worksheet" Target="worksheets/sheet5.xml" /><ns0:Relationship Id="rId8" Type="http://schemas.openxmlformats.org/officeDocument/2006/relationships/worksheet" Target="worksheets/sheet6.xml" /><ns0:Relationship Id="rId10" Type="http://schemas.openxmlformats.org/officeDocument/2006/relationships/worksheet" Target="worksheets/sheet8.xml" /><ns0:Relationship Id="rId11" Type="http://schemas.openxmlformats.org/officeDocument/2006/relationships/worksheet" Target="worksheets/sheet9.xml" /><ns0:Relationship Id="rId12" Type="http://schemas.openxmlformats.org/officeDocument/2006/relationships/worksheet" Target="worksheets/sheet10.xml" /><ns0:Relationship Id="rId13" Type="http://schemas.openxmlformats.org/officeDocument/2006/relationships/worksheet" Target="worksheets/sheet11.xml" /><ns0:Relationship Id="rId14" Type="http://schemas.openxmlformats.org/officeDocument/2006/relationships/sharedStrings" Target="sharedStrings.xml" />
</ns0: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Composición del plan por naturaleza (# touchpoints)</a:t>
            </a:r>
          </a:p>
        </c:rich>
      </c:tx>
      <c:overlay val="0"/>
      <c:spPr>
        <a:noFill/>
        <a:ln w="0">
          <a:noFill/>
        </a:ln>
      </c:spPr>
    </c:title>
    <c:autoTitleDeleted val="0"/>
    <c:plotArea>
      <c:barChart>
        <c:barDir val="col"/>
        <c:grouping val="clustered"/>
        <c:varyColors val="0"/>
        <c:ser>
          <c:idx val="0"/>
          <c:order val="0"/>
          <c:tx>
            <c:strRef>
              <c:f>'Lente 3 · Equilibrio F-S'!B6</c:f>
              <c:strCache>
                <c:ptCount val="1"/>
                <c:pt idx="0">
                  <c:v># TPs</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'Lente 3 · Equilibrio F-S'!$A$7:$A$9</c:f>
              <c:strCache>
                <c:ptCount val="3"/>
                <c:pt idx="0">
                  <c:v>Formativo</c:v>
                </c:pt>
                <c:pt idx="1">
                  <c:v>Sumativo</c:v>
                </c:pt>
                <c:pt idx="2">
                  <c:v>Mixto</c:v>
                </c:pt>
              </c:strCache>
            </c:strRef>
          </c:cat>
          <c:val>
            <c:numRef>
              <c:f>'Lente 3 · Equilibrio F-S'!$B$7:$B$9</c:f>
              <c:numCache>
                <c:formatCode>0</c:formatCode>
                <c:ptCount val="3"/>
                <c:pt idx="0">
                  <c:v>3</c:v>
                </c:pt>
                <c:pt idx="1">
                  <c:v>3</c:v>
                </c:pt>
                <c:pt idx="2">
                  <c:v>2</c:v>
                </c:pt>
              </c:numCache>
            </c:numRef>
          </c:val>
        </c:ser>
        <c:gapWidth val="150"/>
        <c:overlap val="0"/>
        <c:axId val="59773250"/>
        <c:axId val="23858689"/>
      </c:barChart>
      <c:catAx>
        <c:axId val="5977325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858689"/>
        <c:crosses val="autoZero"/>
        <c:auto val="1"/>
        <c:lblAlgn val="ctr"/>
        <c:lblOffset val="100"/>
        <c:noMultiLvlLbl val="0"/>
      </c:catAx>
      <c:valAx>
        <c:axId val="2385868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TPs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977325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3.xml><?xml version="1.0" encoding="utf-8"?>
<cs:colorStyle xmlns:cs="http://schemas.microsoft.com/office/drawing/2012/chartStyle" xmlns:a="http://schemas.openxmlformats.org/drawingml/2006/main" meth="cycle" id="10">
  <a:schemeClr val="accent1"/>
</cs:color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14</xdr:col>
      <xdr:colOff>147240</xdr:colOff>
      <xdr:row>15</xdr:row>
      <xdr:rowOff>118800</xdr:rowOff>
    </xdr:to>
    <xdr:graphicFrame>
      <xdr:nvGraphicFramePr>
        <xdr:cNvPr id="3" name="Chart 1"/>
        <xdr:cNvGraphicFramePr/>
      </xdr:nvGraphicFramePr>
      <xdr:xfrm>
        <a:off x="8317080" y="628560"/>
        <a:ext cx="503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sheetPr filterMode="false">
    <pageSetUpPr fitToPage="false"/>
  </sheetPr>
  <dimension ref="A1:A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6" customFormat="false" ht="21.75" hidden="false" customHeight="true" outlineLevel="0" collapsed="false">
      <c r="A6" s="4" t="s">
        <v>3</v>
      </c>
    </row>
    <row r="7" customFormat="false" ht="30" hidden="false" customHeight="true" outlineLevel="0" collapsed="false">
      <c r="A7" s="5" t="s">
        <v>4</v>
      </c>
    </row>
    <row r="9" customFormat="false" ht="21.75" hidden="false" customHeight="true" outlineLevel="0" collapsed="false">
      <c r="A9" s="4" t="s">
        <v>5</v>
      </c>
    </row>
    <row r="10" customFormat="false" ht="18" hidden="false" customHeight="true" outlineLevel="0" collapsed="false">
      <c r="A10" s="5" t="s">
        <v>6</v>
      </c>
    </row>
    <row r="11" customFormat="false" ht="30" hidden="false" customHeight="true" outlineLevel="0" collapsed="false">
      <c r="A11" s="5" t="s">
        <v>7</v>
      </c>
    </row>
    <row r="12" customFormat="false" ht="30" hidden="false" customHeight="true" outlineLevel="0" collapsed="false">
      <c r="A12" s="5" t="s">
        <v>8</v>
      </c>
    </row>
    <row r="13" customFormat="false" ht="30" hidden="false" customHeight="true" outlineLevel="0" collapsed="false">
      <c r="A13" s="5" t="s">
        <v>9</v>
      </c>
    </row>
    <row r="14" customFormat="false" ht="30" hidden="false" customHeight="true" outlineLevel="0" collapsed="false">
      <c r="A14" s="5" t="s">
        <v>10</v>
      </c>
    </row>
    <row r="15" customFormat="false" ht="30" hidden="false" customHeight="true" outlineLevel="0" collapsed="false">
      <c r="A15" s="5" t="s">
        <v>11</v>
      </c>
    </row>
    <row r="16" customFormat="false" ht="30" hidden="false" customHeight="true" outlineLevel="0" collapsed="false">
      <c r="A16" s="5" t="s">
        <v>12</v>
      </c>
    </row>
    <row r="18" customFormat="false" ht="21.75" hidden="false" customHeight="true" outlineLevel="0" collapsed="false">
      <c r="A18" s="4" t="s">
        <v>13</v>
      </c>
    </row>
    <row r="19" customFormat="false" ht="18" hidden="false" customHeight="true" outlineLevel="0" collapsed="false">
      <c r="A19" s="5" t="s">
        <v>14</v>
      </c>
    </row>
    <row r="20" customFormat="false" ht="18" hidden="false" customHeight="true" outlineLevel="0" collapsed="false">
      <c r="A20" s="5" t="s">
        <v>15</v>
      </c>
    </row>
    <row r="21" customFormat="false" ht="18" hidden="false" customHeight="true" outlineLevel="0" collapsed="false">
      <c r="A21" s="5" t="s">
        <v>16</v>
      </c>
    </row>
    <row r="23" customFormat="false" ht="21.75" hidden="false" customHeight="true" outlineLevel="0" collapsed="false">
      <c r="A23" s="4" t="s">
        <v>17</v>
      </c>
    </row>
    <row r="24" customFormat="false" ht="30" hidden="false" customHeight="true" outlineLevel="0" collapsed="false">
      <c r="A24" s="5" t="s">
        <v>18</v>
      </c>
    </row>
    <row r="25" customFormat="false" ht="30" hidden="false" customHeight="true" outlineLevel="0" collapsed="false">
      <c r="A25" s="5" t="s">
        <v>19</v>
      </c>
    </row>
    <row r="26" customFormat="false" ht="30" hidden="false" customHeight="true" outlineLevel="0" collapsed="false">
      <c r="A26" s="5" t="s">
        <v>20</v>
      </c>
    </row>
    <row r="28" customFormat="false" ht="21.75" hidden="false" customHeight="true" outlineLevel="0" collapsed="false">
      <c r="A28" s="4" t="s">
        <v>21</v>
      </c>
    </row>
    <row r="29" customFormat="false" ht="30" hidden="false" customHeight="true" outlineLevel="0" collapsed="false">
      <c r="A29" s="5" t="s">
        <v>22</v>
      </c>
    </row>
    <row r="30" customFormat="false" ht="18" hidden="false" customHeight="true" outlineLevel="0" collapsed="false">
      <c r="A30" s="5" t="s">
        <v>23</v>
      </c>
    </row>
    <row r="32">
      <c r="A32" t="inlineStr">
        <is>
          <t xml:space="preserve">Dónde se lee el calendario semanal</t>
        </is>
      </c>
    </row>
    <row r="33">
      <c r="A33" t="inlineStr">
        <is>
          <t xml:space="preserve">Este libro calcula tus horas totales, el reparto por responsable y las tres lentes. El calendario semana a semana no: lo genera el Panel del plan operativo · redisena-evaluacion.pages.dev/kit, al que subes este mismo archivo. Allí verás la carga por semana, las semanas de pico y las semanas de cierre posteriores al final de la docencia, que es donde suele concentrarse la corrección.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2" min="2" style="1" width="40"/>
    <col collapsed="false" customWidth="true" hidden="false" outlineLevel="0" max="3" min="3" style="1" width="60"/>
  </cols>
  <sheetData>
    <row r="1" customFormat="false" ht="19.5" hidden="false" customHeight="true" outlineLevel="0" collapsed="false">
      <c r="A1" s="2" t="s">
        <v>24</v>
      </c>
    </row>
    <row r="2" customFormat="false" ht="15" hidden="false" customHeight="true" outlineLevel="0" collapsed="false">
      <c r="A2" s="6" t="s">
        <v>25</v>
      </c>
      <c r="B2" s="6"/>
      <c r="C2" s="6"/>
    </row>
    <row r="4" customFormat="false" ht="15" hidden="false" customHeight="true" outlineLevel="0" collapsed="false">
      <c r="A4" s="7" t="s">
        <v>26</v>
      </c>
      <c r="B4" s="7" t="s">
        <v>27</v>
      </c>
      <c r="C4" s="7" t="s">
        <v>28</v>
      </c>
    </row>
    <row r="5" customFormat="false" ht="21.75" hidden="false" customHeight="true" outlineLevel="0" collapsed="false">
      <c r="A5" s="8" t="s">
        <v>29</v>
      </c>
      <c r="B5" s="9" t="s">
        <v>30</v>
      </c>
      <c r="C5" s="10"/>
    </row>
    <row r="6" customFormat="false" ht="21.75" hidden="false" customHeight="true" outlineLevel="0" collapsed="false">
      <c r="A6" s="8" t="s">
        <v>31</v>
      </c>
      <c r="B6" s="9" t="s">
        <v>32</v>
      </c>
      <c r="C6" s="10"/>
    </row>
    <row r="7" customFormat="false" ht="21.75" hidden="false" customHeight="true" outlineLevel="0" collapsed="false">
      <c r="A7" s="8" t="s">
        <v>33</v>
      </c>
      <c r="B7" s="9" t="s">
        <v>34</v>
      </c>
      <c r="C7" s="10"/>
    </row>
    <row r="8" customFormat="false" ht="21.75" hidden="false" customHeight="true" outlineLevel="0" collapsed="false">
      <c r="A8" s="8" t="s">
        <v>35</v>
      </c>
      <c r="B8" s="9" t="s">
        <v>36</v>
      </c>
      <c r="C8" s="10" t="s">
        <v>37</v>
      </c>
    </row>
    <row r="9" customFormat="false" ht="21.75" hidden="false" customHeight="true" outlineLevel="0" collapsed="false">
      <c r="A9" s="8" t="s">
        <v>38</v>
      </c>
      <c r="B9" s="9" t="s">
        <v>39</v>
      </c>
      <c r="C9" s="10"/>
    </row>
    <row r="10" customFormat="false" ht="21.75" hidden="false" customHeight="true" outlineLevel="0" collapsed="false">
      <c r="A10" s="8" t="s">
        <v>40</v>
      </c>
      <c r="B10" s="9" t="n">
        <v>40</v>
      </c>
      <c r="C10" s="10" t="s">
        <v>41</v>
      </c>
    </row>
    <row r="11" customFormat="false" ht="21.75" hidden="false" customHeight="true" outlineLevel="0" collapsed="false">
      <c r="A11" s="8" t="s">
        <v>42</v>
      </c>
      <c r="B11" s="9" t="n">
        <v>15</v>
      </c>
      <c r="C11" s="10" t="s">
        <v>43</v>
      </c>
    </row>
    <row r="12" customFormat="false" ht="21.75" hidden="false" customHeight="true" outlineLevel="0" collapsed="false">
      <c r="A12" s="8" t="s">
        <v>44</v>
      </c>
      <c r="B12" s="9" t="n">
        <v>3</v>
      </c>
      <c r="C12" s="10" t="s">
        <v>45</v>
      </c>
    </row>
    <row r="13" customFormat="false" ht="21.75" hidden="false" customHeight="true" outlineLevel="0" collapsed="false">
      <c r="A13" s="8" t="s">
        <v>46</v>
      </c>
      <c r="B13" s="9" t="s">
        <v>47</v>
      </c>
      <c r="C13" s="10" t="s">
        <v>48</v>
      </c>
    </row>
    <row r="14" customFormat="false" ht="21.75" hidden="false" customHeight="true" outlineLevel="0" collapsed="false">
      <c r="A14" s="8" t="s">
        <v>49</v>
      </c>
      <c r="B14" s="9" t="s">
        <v>50</v>
      </c>
      <c r="C14" s="10" t="s">
        <v>51</v>
      </c>
    </row>
    <row r="15" customFormat="false" ht="21.75" hidden="false" customHeight="true" outlineLevel="0" collapsed="false">
      <c r="A15" s="8" t="s">
        <v>52</v>
      </c>
      <c r="B15" s="9" t="s">
        <v>53</v>
      </c>
      <c r="C15" s="10" t="s">
        <v>54</v>
      </c>
    </row>
    <row r="16" customFormat="false" ht="21.75" hidden="false" customHeight="true" outlineLevel="0" collapsed="false">
      <c r="A16" s="8" t="s">
        <v>55</v>
      </c>
      <c r="B16" s="9" t="n">
        <v>6</v>
      </c>
      <c r="C16" s="10" t="s">
        <v>56</v>
      </c>
    </row>
    <row r="17" customFormat="false" ht="21.75" hidden="false" customHeight="true" outlineLevel="0" collapsed="false">
      <c r="A17" s="8" t="s">
        <v>57</v>
      </c>
      <c r="B17" s="9" t="n">
        <v>25</v>
      </c>
      <c r="C17" s="10" t="s">
        <v>58</v>
      </c>
    </row>
    <row r="18" customFormat="false" ht="21.75" hidden="false" customHeight="true" outlineLevel="0" collapsed="false">
      <c r="A18" s="8" t="s">
        <v>59</v>
      </c>
      <c r="B18" s="9" t="n">
        <v>15</v>
      </c>
      <c r="C18" s="10" t="s">
        <v>60</v>
      </c>
    </row>
    <row r="19" customFormat="false" ht="21.75" hidden="false" customHeight="true" outlineLevel="0" collapsed="false">
      <c r="A19" s="8" t="s">
        <v>61</v>
      </c>
      <c r="B19" s="9" t="n">
        <v>12</v>
      </c>
      <c r="C19" s="10" t="s">
        <v>62</v>
      </c>
    </row>
    <row r="20" customFormat="false" ht="19.4" hidden="false" customHeight="false" outlineLevel="0" collapsed="false">
      <c r="A20" s="8" t="s">
        <v>63</v>
      </c>
      <c r="B20" s="9" t="n">
        <v>10</v>
      </c>
      <c r="C20" s="10" t="s">
        <v>64</v>
      </c>
    </row>
    <row r="21" customFormat="false" ht="23.85" hidden="false" customHeight="false" outlineLevel="0" collapsed="false">
      <c r="A21" s="8" t="s">
        <v>65</v>
      </c>
      <c r="B21" s="9" t="n">
        <v>10</v>
      </c>
      <c r="C21" s="10" t="s">
        <v>66</v>
      </c>
    </row>
  </sheetData>
  <mergeCells count="1">
    <mergeCell ref="A2:C2"/>
  </mergeCells>
  <dataValidations count="3">
    <dataValidation allowBlank="true" errorStyle="stop" operator="between" showDropDown="false" showErrorMessage="false" showInputMessage="false" sqref="B8" type="list">
      <formula1>"1,2,Anual"</formula1>
      <formula2>0</formula2>
    </dataValidation>
    <dataValidation allowBlank="true" errorStyle="stop" operator="between" showDropDown="false" showErrorMessage="false" showInputMessage="false" sqref="B13" type="list">
      <formula1>"Restringida,Declarada,Abierta,Mixta"</formula1>
      <formula2>0</formula2>
    </dataValidation>
    <dataValidation allowBlank="true" errorStyle="stop" operator="between" showDropDown="false" showErrorMessage="false" showInputMessage="false" sqref="B14" type="list">
      <formula1>"Solo profesor,Coordinador + profesor"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3" min="3" style="1" width="14"/>
    <col collapsed="false" customWidth="true" hidden="false" outlineLevel="0" max="4" min="4" style="1" width="20"/>
    <col collapsed="false" customWidth="true" hidden="false" outlineLevel="0" max="5" min="5" style="1" width="16"/>
    <col collapsed="false" customWidth="true" hidden="false" outlineLevel="0" max="6" min="6" style="1" width="12"/>
    <col collapsed="false" customWidth="true" hidden="false" outlineLevel="0" max="9" min="7" style="1" width="14"/>
    <col collapsed="false" customWidth="true" hidden="false" outlineLevel="0" max="10" min="10" style="1" width="20"/>
  </cols>
  <sheetData>
    <row r="1" customFormat="false" ht="19.5" hidden="false" customHeight="true" outlineLevel="0" collapsed="false">
      <c r="A1" s="2" t="s">
        <v>67</v>
      </c>
    </row>
    <row r="2" customFormat="false" ht="15" hidden="false" customHeight="true" outlineLevel="0" collapsed="false">
      <c r="A2" s="6" t="s">
        <v>68</v>
      </c>
      <c r="B2" s="6"/>
      <c r="C2" s="6"/>
      <c r="D2" s="6"/>
      <c r="E2" s="6"/>
      <c r="F2" s="6"/>
      <c r="G2" s="6"/>
      <c r="H2" s="6"/>
      <c r="I2" s="6"/>
      <c r="J2" s="6"/>
    </row>
    <row r="4" customFormat="false" ht="33.75" hidden="false" customHeight="true" outlineLevel="0" collapsed="false">
      <c r="A4" s="7" t="s">
        <v>69</v>
      </c>
      <c r="B4" s="7" t="s">
        <v>70</v>
      </c>
      <c r="C4" s="7" t="s">
        <v>71</v>
      </c>
      <c r="D4" s="7" t="s">
        <v>72</v>
      </c>
      <c r="E4" s="7" t="s">
        <v>73</v>
      </c>
      <c r="F4" s="7" t="s">
        <v>74</v>
      </c>
      <c r="G4" s="7" t="s">
        <v>75</v>
      </c>
      <c r="H4" s="7" t="s">
        <v>76</v>
      </c>
      <c r="I4" s="7" t="s">
        <v>77</v>
      </c>
      <c r="J4" s="7" t="s">
        <v>78</v>
      </c>
    </row>
    <row r="5" customFormat="false" ht="15" hidden="false" customHeight="true" outlineLevel="0" collapsed="false">
      <c r="A5" s="11" t="s">
        <v>79</v>
      </c>
      <c r="B5" s="12" t="s">
        <v>80</v>
      </c>
      <c r="C5" s="11" t="s">
        <v>81</v>
      </c>
      <c r="D5" s="11" t="s">
        <v>82</v>
      </c>
      <c r="E5" s="11" t="s">
        <v>83</v>
      </c>
      <c r="F5" s="13" t="n">
        <v>3</v>
      </c>
      <c r="G5" s="13" t="n">
        <v>2</v>
      </c>
      <c r="H5" s="13" t="n">
        <v>0.2</v>
      </c>
      <c r="I5" s="13" t="n">
        <v>0.05</v>
      </c>
      <c r="J5" s="13" t="n">
        <v>2</v>
      </c>
    </row>
    <row r="6" customFormat="false" ht="15" hidden="false" customHeight="true" outlineLevel="0" collapsed="false">
      <c r="A6" s="14" t="s">
        <v>84</v>
      </c>
      <c r="B6" s="15" t="s">
        <v>85</v>
      </c>
      <c r="C6" s="14" t="s">
        <v>86</v>
      </c>
      <c r="D6" s="14" t="s">
        <v>87</v>
      </c>
      <c r="E6" s="14" t="s">
        <v>47</v>
      </c>
      <c r="F6" s="13" t="n">
        <v>4</v>
      </c>
      <c r="G6" s="13" t="n">
        <v>0.5</v>
      </c>
      <c r="H6" s="13" t="n">
        <v>0.5</v>
      </c>
      <c r="I6" s="13" t="n">
        <v>0.15</v>
      </c>
      <c r="J6" s="13" t="n">
        <v>10</v>
      </c>
    </row>
    <row r="7" customFormat="false" ht="15" hidden="false" customHeight="true" outlineLevel="0" collapsed="false">
      <c r="A7" s="11" t="s">
        <v>88</v>
      </c>
      <c r="B7" s="12" t="s">
        <v>89</v>
      </c>
      <c r="C7" s="11" t="s">
        <v>81</v>
      </c>
      <c r="D7" s="11" t="s">
        <v>82</v>
      </c>
      <c r="E7" s="11" t="s">
        <v>47</v>
      </c>
      <c r="F7" s="13" t="n">
        <v>2</v>
      </c>
      <c r="G7" s="13" t="n">
        <v>0.3</v>
      </c>
      <c r="H7" s="13" t="n">
        <v>0.1</v>
      </c>
      <c r="I7" s="13" t="n">
        <v>0.1</v>
      </c>
      <c r="J7" s="13" t="n">
        <v>8</v>
      </c>
    </row>
    <row r="8" customFormat="false" ht="15" hidden="false" customHeight="true" outlineLevel="0" collapsed="false">
      <c r="A8" s="14" t="s">
        <v>90</v>
      </c>
      <c r="B8" s="15" t="s">
        <v>91</v>
      </c>
      <c r="C8" s="14" t="s">
        <v>92</v>
      </c>
      <c r="D8" s="14" t="s">
        <v>93</v>
      </c>
      <c r="E8" s="14" t="s">
        <v>94</v>
      </c>
      <c r="F8" s="13" t="n">
        <v>1</v>
      </c>
      <c r="G8" s="13" t="n">
        <v>0.25</v>
      </c>
      <c r="H8" s="13" t="n">
        <v>0</v>
      </c>
      <c r="I8" s="13" t="n">
        <v>0.05</v>
      </c>
      <c r="J8" s="13" t="n">
        <v>0</v>
      </c>
    </row>
    <row r="9" customFormat="false" ht="15" hidden="false" customHeight="true" outlineLevel="0" collapsed="false">
      <c r="A9" s="11" t="s">
        <v>95</v>
      </c>
      <c r="B9" s="12" t="s">
        <v>96</v>
      </c>
      <c r="C9" s="11" t="s">
        <v>92</v>
      </c>
      <c r="D9" s="11" t="s">
        <v>87</v>
      </c>
      <c r="E9" s="11" t="s">
        <v>97</v>
      </c>
      <c r="F9" s="13" t="n">
        <v>1</v>
      </c>
      <c r="G9" s="13" t="n">
        <v>0.1</v>
      </c>
      <c r="H9" s="13" t="n">
        <v>0.05</v>
      </c>
      <c r="I9" s="13" t="n">
        <v>0.05</v>
      </c>
      <c r="J9" s="13" t="n">
        <v>1</v>
      </c>
    </row>
    <row r="10" customFormat="false" ht="15" hidden="false" customHeight="true" outlineLevel="0" collapsed="false">
      <c r="A10" s="14" t="s">
        <v>98</v>
      </c>
      <c r="B10" s="15" t="s">
        <v>99</v>
      </c>
      <c r="C10" s="14" t="s">
        <v>92</v>
      </c>
      <c r="D10" s="14" t="s">
        <v>87</v>
      </c>
      <c r="E10" s="14" t="s">
        <v>47</v>
      </c>
      <c r="F10" s="13" t="n">
        <v>2</v>
      </c>
      <c r="G10" s="13" t="n">
        <v>0.2</v>
      </c>
      <c r="H10" s="13" t="n">
        <v>0.1</v>
      </c>
      <c r="I10" s="13" t="n">
        <v>0.1</v>
      </c>
      <c r="J10" s="13" t="n">
        <v>2</v>
      </c>
    </row>
    <row r="11" customFormat="false" ht="15" hidden="false" customHeight="true" outlineLevel="0" collapsed="false">
      <c r="A11" s="11" t="s">
        <v>100</v>
      </c>
      <c r="B11" s="12" t="s">
        <v>101</v>
      </c>
      <c r="C11" s="11" t="s">
        <v>92</v>
      </c>
      <c r="D11" s="11" t="s">
        <v>102</v>
      </c>
      <c r="E11" s="11" t="s">
        <v>94</v>
      </c>
      <c r="F11" s="13" t="n">
        <v>0.5</v>
      </c>
      <c r="G11" s="13" t="n">
        <v>0.5</v>
      </c>
      <c r="H11" s="13" t="n">
        <v>0</v>
      </c>
      <c r="I11" s="13" t="n">
        <v>0</v>
      </c>
      <c r="J11" s="13" t="n">
        <v>0.5</v>
      </c>
    </row>
    <row r="12" customFormat="false" ht="15" hidden="false" customHeight="true" outlineLevel="0" collapsed="false">
      <c r="A12" s="14" t="s">
        <v>103</v>
      </c>
      <c r="B12" s="15" t="s">
        <v>104</v>
      </c>
      <c r="C12" s="14" t="s">
        <v>86</v>
      </c>
      <c r="D12" s="14" t="s">
        <v>82</v>
      </c>
      <c r="E12" s="14" t="s">
        <v>47</v>
      </c>
      <c r="F12" s="13" t="n">
        <v>1.5</v>
      </c>
      <c r="G12" s="13" t="n">
        <v>0.3</v>
      </c>
      <c r="H12" s="13" t="n">
        <v>0.15</v>
      </c>
      <c r="I12" s="13" t="n">
        <v>0.1</v>
      </c>
      <c r="J12" s="13" t="n">
        <v>3</v>
      </c>
    </row>
    <row r="13" customFormat="false" ht="15" hidden="false" customHeight="true" outlineLevel="0" collapsed="false">
      <c r="A13" s="11" t="s">
        <v>105</v>
      </c>
      <c r="B13" s="12" t="s">
        <v>106</v>
      </c>
      <c r="C13" s="11" t="s">
        <v>92</v>
      </c>
      <c r="D13" s="11" t="s">
        <v>93</v>
      </c>
      <c r="E13" s="11" t="s">
        <v>47</v>
      </c>
      <c r="F13" s="13" t="n">
        <v>1</v>
      </c>
      <c r="G13" s="13" t="n">
        <v>0.5</v>
      </c>
      <c r="H13" s="13" t="n">
        <v>0</v>
      </c>
      <c r="I13" s="13" t="n">
        <v>0.1</v>
      </c>
      <c r="J13" s="13" t="n">
        <v>0.2</v>
      </c>
    </row>
    <row r="14" customFormat="false" ht="15" hidden="false" customHeight="true" outlineLevel="0" collapsed="false">
      <c r="A14" s="16" t="s">
        <v>107</v>
      </c>
      <c r="B14" s="17" t="s">
        <v>108</v>
      </c>
      <c r="C14" s="18"/>
      <c r="D14" s="18"/>
      <c r="E14" s="18"/>
      <c r="F14" s="18"/>
      <c r="G14" s="18"/>
      <c r="H14" s="18"/>
      <c r="I14" s="18"/>
      <c r="J14" s="18"/>
    </row>
    <row r="15" customFormat="false" ht="15" hidden="false" customHeight="true" outlineLevel="0" collapsed="false">
      <c r="A15" s="19"/>
      <c r="B15" s="18"/>
      <c r="C15" s="18"/>
      <c r="D15" s="18"/>
      <c r="E15" s="18"/>
      <c r="F15" s="20"/>
      <c r="G15" s="20"/>
      <c r="H15" s="20"/>
      <c r="I15" s="20"/>
      <c r="J15" s="20"/>
    </row>
    <row r="16" customFormat="false" ht="15" hidden="false" customHeight="true" outlineLevel="0" collapsed="false">
      <c r="A16" s="19"/>
      <c r="B16" s="18"/>
      <c r="C16" s="18"/>
      <c r="D16" s="18"/>
      <c r="E16" s="18"/>
      <c r="F16" s="20"/>
      <c r="G16" s="20"/>
      <c r="H16" s="20"/>
      <c r="I16" s="20"/>
      <c r="J16" s="20"/>
    </row>
    <row r="17" customFormat="false" ht="15" hidden="false" customHeight="true" outlineLevel="0" collapsed="false">
      <c r="A17" s="19"/>
      <c r="B17" s="18"/>
      <c r="C17" s="18"/>
      <c r="D17" s="18"/>
      <c r="E17" s="18"/>
      <c r="F17" s="20"/>
      <c r="G17" s="20"/>
      <c r="H17" s="20"/>
      <c r="I17" s="20"/>
      <c r="J17" s="20"/>
    </row>
    <row r="19" customFormat="false" ht="15" hidden="false" customHeight="true" outlineLevel="0" collapsed="false">
      <c r="A19" s="21" t="s">
        <v>109</v>
      </c>
    </row>
    <row r="20" customFormat="false" ht="15" hidden="false" customHeight="true" outlineLevel="0" collapsed="false">
      <c r="A20" s="22" t="s">
        <v>71</v>
      </c>
      <c r="B20" s="23" t="s">
        <v>110</v>
      </c>
    </row>
    <row r="21" customFormat="false" ht="15" hidden="false" customHeight="true" outlineLevel="0" collapsed="false">
      <c r="A21" s="22" t="s">
        <v>72</v>
      </c>
      <c r="B21" s="23" t="s">
        <v>111</v>
      </c>
    </row>
    <row r="22" customFormat="false" ht="15" hidden="false" customHeight="true" outlineLevel="0" collapsed="false">
      <c r="A22" s="22" t="s">
        <v>112</v>
      </c>
      <c r="B22" s="23" t="s">
        <v>113</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28"/>
    <col collapsed="false" customWidth="true" hidden="false" outlineLevel="0" max="3" min="3" style="1" width="10"/>
    <col collapsed="false" customWidth="true" hidden="false" outlineLevel="0" max="4" min="4" style="1" width="12"/>
    <col collapsed="false" customWidth="true" hidden="false" outlineLevel="0" max="7" min="5" style="1" width="14"/>
    <col collapsed="false" customWidth="true" hidden="false" outlineLevel="0" max="8" min="8" style="1" width="11"/>
    <col collapsed="false" customWidth="true" hidden="false" outlineLevel="0" max="9" min="9" style="1" width="10"/>
    <col collapsed="false" customWidth="true" hidden="false" outlineLevel="0" max="10" min="10" style="1" width="9"/>
    <col collapsed="false" customWidth="true" hidden="false" outlineLevel="0" max="11" min="11" style="1" width="12"/>
    <col collapsed="false" customWidth="true" hidden="false" outlineLevel="0" max="12" min="12" style="1" width="9"/>
    <col collapsed="false" customWidth="true" hidden="false" outlineLevel="0" max="13" min="13" style="1" width="11"/>
    <col collapsed="false" customWidth="true" hidden="false" outlineLevel="0" max="14" min="14" style="1" width="10"/>
    <col collapsed="false" customWidth="true" hidden="false" outlineLevel="0" max="15" min="15" style="1" width="11"/>
    <col collapsed="false" customWidth="true" hidden="false" outlineLevel="0" max="16" min="16" style="1" width="13"/>
    <col collapsed="false" customWidth="true" hidden="false" outlineLevel="0" max="17" min="17" style="1" width="9"/>
    <col collapsed="false" customWidth="true" hidden="false" outlineLevel="0" max="18" min="18" style="1" width="11"/>
    <col collapsed="false" customWidth="true" hidden="false" outlineLevel="0" max="19" min="19" style="1" width="10"/>
    <col collapsed="false" customWidth="true" hidden="false" outlineLevel="0" max="20" min="20" style="1" width="11"/>
    <col collapsed="false" customWidth="true" hidden="false" outlineLevel="0" max="21" min="21" style="1" width="12"/>
    <col collapsed="false" customWidth="true" hidden="false" outlineLevel="0" max="25" min="22" style="1" width="30"/>
    <col collapsed="false" customWidth="true" hidden="false" outlineLevel="0" max="26" min="26" style="1" width="9"/>
    <col collapsed="false" customWidth="true" hidden="false" outlineLevel="0" max="27" min="27" style="1" width="8"/>
    <col collapsed="false" customWidth="true" hidden="false" outlineLevel="0" max="28" min="28" style="1" width="10"/>
    <col collapsed="false" customWidth="true" hidden="false" outlineLevel="0" max="29" min="29" style="1" width="11"/>
    <col collapsed="false" customWidth="true" hidden="false" outlineLevel="0" max="30" min="30" style="1" width="28"/>
    <col collapsed="false" customWidth="true" hidden="false" outlineLevel="0" max="32" min="31" style="1" width="22"/>
  </cols>
  <sheetData>
    <row r="1" customFormat="false" ht="19.5" hidden="false" customHeight="true" outlineLevel="0" collapsed="false">
      <c r="A1" s="2" t="s">
        <v>114</v>
      </c>
    </row>
    <row r="2" customFormat="false" ht="15" hidden="false" customHeight="true" outlineLevel="0" collapsed="false">
      <c r="A2" s="6" t="s">
        <v>115</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row>
    <row r="4" customFormat="false" ht="21.75" hidden="false" customHeight="true" outlineLevel="0" collapsed="false">
      <c r="A4" s="24" t="s">
        <v>116</v>
      </c>
      <c r="B4" s="24"/>
      <c r="C4" s="24"/>
      <c r="D4" s="24"/>
      <c r="E4" s="24"/>
      <c r="F4" s="24"/>
      <c r="G4" s="24"/>
      <c r="H4" s="24"/>
      <c r="I4" s="24"/>
      <c r="J4" s="24"/>
      <c r="K4" s="24"/>
      <c r="L4" s="25" t="s">
        <v>117</v>
      </c>
      <c r="M4" s="25"/>
      <c r="N4" s="25"/>
      <c r="O4" s="25"/>
      <c r="P4" s="25"/>
      <c r="Q4" s="26" t="s">
        <v>118</v>
      </c>
      <c r="R4" s="26"/>
      <c r="S4" s="26"/>
      <c r="T4" s="26"/>
      <c r="U4" s="26"/>
      <c r="V4" s="27" t="s">
        <v>119</v>
      </c>
      <c r="W4" s="27"/>
      <c r="X4" s="27"/>
      <c r="Y4" s="27"/>
      <c r="Z4" s="28" t="s">
        <v>120</v>
      </c>
      <c r="AA4" s="28"/>
      <c r="AB4" s="29" t="s">
        <v>121</v>
      </c>
      <c r="AC4" s="29"/>
      <c r="AD4" s="30" t="s">
        <v>122</v>
      </c>
      <c r="AE4" s="30"/>
      <c r="AF4" s="30"/>
    </row>
    <row r="5" customFormat="false" ht="31.5" hidden="false" customHeight="true" outlineLevel="0" collapsed="false">
      <c r="A5" s="7" t="s">
        <v>69</v>
      </c>
      <c r="B5" s="7" t="s">
        <v>123</v>
      </c>
      <c r="C5" s="7" t="s">
        <v>124</v>
      </c>
      <c r="D5" s="7" t="s">
        <v>71</v>
      </c>
      <c r="E5" s="7" t="s">
        <v>72</v>
      </c>
      <c r="F5" s="7" t="s">
        <v>125</v>
      </c>
      <c r="G5" s="7" t="s">
        <v>126</v>
      </c>
      <c r="H5" s="7" t="s">
        <v>127</v>
      </c>
      <c r="I5" s="7" t="s">
        <v>128</v>
      </c>
      <c r="J5" s="7" t="s">
        <v>129</v>
      </c>
      <c r="K5" s="7" t="s">
        <v>130</v>
      </c>
      <c r="L5" s="7" t="s">
        <v>74</v>
      </c>
      <c r="M5" s="7" t="s">
        <v>75</v>
      </c>
      <c r="N5" s="7" t="s">
        <v>76</v>
      </c>
      <c r="O5" s="7" t="s">
        <v>77</v>
      </c>
      <c r="P5" s="7" t="s">
        <v>131</v>
      </c>
      <c r="Q5" s="7" t="s">
        <v>74</v>
      </c>
      <c r="R5" s="7" t="s">
        <v>75</v>
      </c>
      <c r="S5" s="7" t="s">
        <v>76</v>
      </c>
      <c r="T5" s="7" t="s">
        <v>77</v>
      </c>
      <c r="U5" s="7" t="s">
        <v>132</v>
      </c>
      <c r="V5" s="7" t="s">
        <v>133</v>
      </c>
      <c r="W5" s="7" t="s">
        <v>134</v>
      </c>
      <c r="X5" s="7" t="s">
        <v>135</v>
      </c>
      <c r="Y5" s="7" t="s">
        <v>136</v>
      </c>
      <c r="Z5" s="7" t="s">
        <v>137</v>
      </c>
      <c r="AA5" s="7" t="s">
        <v>138</v>
      </c>
      <c r="AB5" s="7" t="s">
        <v>139</v>
      </c>
      <c r="AC5" s="7" t="s">
        <v>140</v>
      </c>
      <c r="AD5" s="7" t="s">
        <v>141</v>
      </c>
      <c r="AE5" s="7" t="s">
        <v>142</v>
      </c>
      <c r="AF5" s="7" t="s">
        <v>28</v>
      </c>
    </row>
    <row r="6" customFormat="false" ht="34.5" hidden="false" customHeight="true" outlineLevel="0" collapsed="false">
      <c r="A6" s="31" t="s">
        <v>143</v>
      </c>
      <c r="B6" s="9" t="s">
        <v>144</v>
      </c>
      <c r="C6" s="32" t="s">
        <v>79</v>
      </c>
      <c r="D6" s="32" t="s">
        <v>92</v>
      </c>
      <c r="E6" s="32" t="s">
        <v>82</v>
      </c>
      <c r="F6" s="32" t="s">
        <v>47</v>
      </c>
      <c r="G6" s="32" t="s">
        <v>145</v>
      </c>
      <c r="H6" s="33" t="n">
        <v>1</v>
      </c>
      <c r="I6" s="33" t="n">
        <v>1</v>
      </c>
      <c r="J6" s="33" t="n">
        <v>1</v>
      </c>
      <c r="K6" s="34" t="n">
        <v>0</v>
      </c>
      <c r="L6" s="13" t="n">
        <v>2</v>
      </c>
      <c r="M6" s="13" t="n">
        <v>0.5</v>
      </c>
      <c r="N6" s="13" t="n">
        <v>0.2</v>
      </c>
      <c r="O6" s="13" t="n">
        <v>0.1</v>
      </c>
      <c r="P6" s="35" t="n">
        <f aca="false">IFERROR(N(L6)+N(H6)*(N(M6)+Parámetros!$B$10*(N(N6)+N(O6))),0)</f>
        <v>14.5</v>
      </c>
      <c r="Q6" s="13"/>
      <c r="R6" s="13"/>
      <c r="S6" s="13" t="n">
        <v>0.1</v>
      </c>
      <c r="T6" s="13"/>
      <c r="U6" s="35" t="n">
        <f aca="false">IFERROR(IF(Q6="",N(L6),N(Q6))+N(H6)*(IF(R6="",N(M6),N(R6))+Parámetros!$B$10*(IF(S6="",N(N6),N(S6))+IF(T6="",N(O6),N(T6)))),0)</f>
        <v>10.5</v>
      </c>
      <c r="V6" s="9"/>
      <c r="W6" s="9"/>
      <c r="X6" s="9" t="s">
        <v>146</v>
      </c>
      <c r="Y6" s="9"/>
      <c r="Z6" s="36" t="n">
        <f aca="false">IFERROR(P6-U6,0)</f>
        <v>4</v>
      </c>
      <c r="AA6" s="37" t="n">
        <f aca="false">IFERROR(IF(P6&gt;0,Z6/P6,0),0)</f>
        <v>0.275862068965517</v>
      </c>
      <c r="AB6" s="13" t="n">
        <v>1</v>
      </c>
      <c r="AC6" s="36" t="n">
        <f aca="false">IFERROR(N(H6)*N(AB6),0)</f>
        <v>1</v>
      </c>
      <c r="AD6" s="9" t="s">
        <v>147</v>
      </c>
      <c r="AE6" s="9" t="s">
        <v>148</v>
      </c>
      <c r="AF6" s="9" t="s">
        <v>149</v>
      </c>
    </row>
    <row r="7" customFormat="false" ht="45.75" hidden="false" customHeight="true" outlineLevel="0" collapsed="false">
      <c r="A7" s="31" t="s">
        <v>150</v>
      </c>
      <c r="B7" s="9" t="s">
        <v>151</v>
      </c>
      <c r="C7" s="32" t="s">
        <v>79</v>
      </c>
      <c r="D7" s="32" t="s">
        <v>92</v>
      </c>
      <c r="E7" s="32" t="s">
        <v>102</v>
      </c>
      <c r="F7" s="32" t="s">
        <v>83</v>
      </c>
      <c r="G7" s="32" t="s">
        <v>145</v>
      </c>
      <c r="H7" s="33" t="n">
        <v>10</v>
      </c>
      <c r="I7" s="33" t="n">
        <v>2</v>
      </c>
      <c r="J7" s="33" t="n">
        <v>14</v>
      </c>
      <c r="K7" s="34" t="n">
        <v>0</v>
      </c>
      <c r="L7" s="13" t="n">
        <v>1.5</v>
      </c>
      <c r="M7" s="13" t="n">
        <v>0.3</v>
      </c>
      <c r="N7" s="13" t="n">
        <v>0.1</v>
      </c>
      <c r="O7" s="13" t="n">
        <v>0.05</v>
      </c>
      <c r="P7" s="35" t="n">
        <f aca="false">IFERROR(N(L7)+N(H7)*(N(M7)+Parámetros!$B$10*(N(N7)+N(O7))),0)</f>
        <v>64.5</v>
      </c>
      <c r="Q7" s="13" t="n">
        <v>0.5</v>
      </c>
      <c r="R7" s="13"/>
      <c r="S7" s="13"/>
      <c r="T7" s="13"/>
      <c r="U7" s="35" t="n">
        <f aca="false">IFERROR(IF(Q7="",N(L7),N(Q7))+N(H7)*(IF(R7="",N(M7),N(R7))+Parámetros!$B$10*(IF(S7="",N(N7),N(S7))+IF(T7="",N(O7),N(T7)))),0)</f>
        <v>63.5</v>
      </c>
      <c r="V7" s="9" t="s">
        <v>152</v>
      </c>
      <c r="W7" s="9"/>
      <c r="X7" s="9"/>
      <c r="Y7" s="9"/>
      <c r="Z7" s="36" t="n">
        <f aca="false">IFERROR(P7-U7,0)</f>
        <v>0.999999999999993</v>
      </c>
      <c r="AA7" s="37" t="n">
        <f aca="false">IFERROR(IF(P7&gt;0,Z7/P7,0),0)</f>
        <v>0.0155038759689921</v>
      </c>
      <c r="AB7" s="13" t="n">
        <v>0.3</v>
      </c>
      <c r="AC7" s="36" t="n">
        <f aca="false">IFERROR(N(H7)*N(AB7),0)</f>
        <v>3</v>
      </c>
      <c r="AD7" s="9" t="s">
        <v>153</v>
      </c>
      <c r="AE7" s="9" t="s">
        <v>154</v>
      </c>
      <c r="AF7" s="9" t="s">
        <v>155</v>
      </c>
    </row>
    <row r="8" customFormat="false" ht="45.75" hidden="false" customHeight="true" outlineLevel="0" collapsed="false">
      <c r="A8" s="31" t="s">
        <v>156</v>
      </c>
      <c r="B8" s="9" t="s">
        <v>157</v>
      </c>
      <c r="C8" s="32" t="s">
        <v>84</v>
      </c>
      <c r="D8" s="32" t="s">
        <v>86</v>
      </c>
      <c r="E8" s="32" t="s">
        <v>82</v>
      </c>
      <c r="F8" s="32" t="s">
        <v>47</v>
      </c>
      <c r="G8" s="32" t="s">
        <v>145</v>
      </c>
      <c r="H8" s="33" t="n">
        <v>1</v>
      </c>
      <c r="I8" s="33" t="n">
        <v>4</v>
      </c>
      <c r="J8" s="33" t="n">
        <v>4</v>
      </c>
      <c r="K8" s="34" t="n">
        <v>10</v>
      </c>
      <c r="L8" s="13" t="n">
        <v>3</v>
      </c>
      <c r="M8" s="13" t="n">
        <v>0.5</v>
      </c>
      <c r="N8" s="13" t="n">
        <v>0.6</v>
      </c>
      <c r="O8" s="13" t="n">
        <v>0.3</v>
      </c>
      <c r="P8" s="35" t="n">
        <f aca="false">IFERROR(N(L8)+N(H8)*(N(M8)+Parámetros!$B$10*(N(N8)+N(O8))),0)</f>
        <v>39.5</v>
      </c>
      <c r="Q8" s="13"/>
      <c r="R8" s="13"/>
      <c r="S8" s="13"/>
      <c r="T8" s="13" t="n">
        <v>0.15</v>
      </c>
      <c r="U8" s="35" t="n">
        <f aca="false">IFERROR(IF(Q8="",N(L8),N(Q8))+N(H8)*(IF(R8="",N(M8),N(R8))+Parámetros!$B$10*(IF(S8="",N(N8),N(S8))+IF(T8="",N(O8),N(T8)))),0)</f>
        <v>33.5</v>
      </c>
      <c r="V8" s="9"/>
      <c r="W8" s="9"/>
      <c r="X8" s="9"/>
      <c r="Y8" s="9" t="s">
        <v>158</v>
      </c>
      <c r="Z8" s="36" t="n">
        <f aca="false">IFERROR(P8-U8,0)</f>
        <v>6</v>
      </c>
      <c r="AA8" s="37" t="n">
        <f aca="false">IFERROR(IF(P8&gt;0,Z8/P8,0),0)</f>
        <v>0.151898734177215</v>
      </c>
      <c r="AB8" s="13" t="n">
        <v>10</v>
      </c>
      <c r="AC8" s="36" t="n">
        <f aca="false">IFERROR(N(H8)*N(AB8),0)</f>
        <v>10</v>
      </c>
      <c r="AD8" s="9" t="s">
        <v>159</v>
      </c>
      <c r="AE8" s="9" t="s">
        <v>160</v>
      </c>
      <c r="AF8" s="9" t="s">
        <v>161</v>
      </c>
    </row>
    <row r="9" customFormat="false" ht="45.75" hidden="false" customHeight="true" outlineLevel="0" collapsed="false">
      <c r="A9" s="31" t="s">
        <v>162</v>
      </c>
      <c r="B9" s="9" t="s">
        <v>163</v>
      </c>
      <c r="C9" s="32" t="s">
        <v>79</v>
      </c>
      <c r="D9" s="32" t="s">
        <v>81</v>
      </c>
      <c r="E9" s="32" t="s">
        <v>82</v>
      </c>
      <c r="F9" s="32" t="s">
        <v>83</v>
      </c>
      <c r="G9" s="32" t="s">
        <v>145</v>
      </c>
      <c r="H9" s="33" t="n">
        <v>1</v>
      </c>
      <c r="I9" s="33" t="n">
        <v>8</v>
      </c>
      <c r="J9" s="33" t="n">
        <v>8</v>
      </c>
      <c r="K9" s="34" t="n">
        <v>25</v>
      </c>
      <c r="L9" s="13" t="n">
        <v>6</v>
      </c>
      <c r="M9" s="13" t="n">
        <v>2</v>
      </c>
      <c r="N9" s="13" t="n">
        <v>0.4</v>
      </c>
      <c r="O9" s="13" t="n">
        <v>0.1</v>
      </c>
      <c r="P9" s="35" t="n">
        <f aca="false">IFERROR(N(L9)+N(H9)*(N(M9)+Parámetros!$B$10*(N(N9)+N(O9))),0)</f>
        <v>28</v>
      </c>
      <c r="Q9" s="13"/>
      <c r="R9" s="13"/>
      <c r="S9" s="13"/>
      <c r="T9" s="13"/>
      <c r="U9" s="35" t="n">
        <f aca="false">IFERROR(IF(Q9="",N(L9),N(Q9))+N(H9)*(IF(R9="",N(M9),N(R9))+Parámetros!$B$10*(IF(S9="",N(N9),N(S9))+IF(T9="",N(O9),N(T9)))),0)</f>
        <v>28</v>
      </c>
      <c r="V9" s="9"/>
      <c r="W9" s="9"/>
      <c r="X9" s="9"/>
      <c r="Y9" s="9"/>
      <c r="Z9" s="36" t="n">
        <f aca="false">IFERROR(P9-U9,0)</f>
        <v>0</v>
      </c>
      <c r="AA9" s="37" t="n">
        <f aca="false">IFERROR(IF(P9&gt;0,Z9/P9,0),0)</f>
        <v>0</v>
      </c>
      <c r="AB9" s="13" t="n">
        <v>12</v>
      </c>
      <c r="AC9" s="36" t="n">
        <f aca="false">IFERROR(N(H9)*N(AB9),0)</f>
        <v>12</v>
      </c>
      <c r="AD9" s="9" t="s">
        <v>164</v>
      </c>
      <c r="AE9" s="9" t="s">
        <v>165</v>
      </c>
      <c r="AF9" s="9" t="s">
        <v>166</v>
      </c>
    </row>
    <row r="10" customFormat="false" ht="45.75" hidden="false" customHeight="true" outlineLevel="0" collapsed="false">
      <c r="A10" s="31" t="s">
        <v>167</v>
      </c>
      <c r="B10" s="9" t="s">
        <v>168</v>
      </c>
      <c r="C10" s="32" t="s">
        <v>84</v>
      </c>
      <c r="D10" s="32" t="s">
        <v>86</v>
      </c>
      <c r="E10" s="32" t="s">
        <v>82</v>
      </c>
      <c r="F10" s="32" t="s">
        <v>47</v>
      </c>
      <c r="G10" s="32" t="s">
        <v>169</v>
      </c>
      <c r="H10" s="33" t="n">
        <v>1</v>
      </c>
      <c r="I10" s="33" t="n">
        <v>10</v>
      </c>
      <c r="J10" s="33" t="n">
        <v>10</v>
      </c>
      <c r="K10" s="34" t="n">
        <v>10</v>
      </c>
      <c r="L10" s="13" t="n">
        <v>3</v>
      </c>
      <c r="M10" s="13" t="n">
        <v>0.5</v>
      </c>
      <c r="N10" s="13" t="n">
        <v>0.6</v>
      </c>
      <c r="O10" s="13" t="n">
        <v>0.3</v>
      </c>
      <c r="P10" s="35" t="n">
        <f aca="false">IFERROR(N(L10)+N(H10)*(N(M10)+Parámetros!$B$10*(N(N10)+N(O10))),0)</f>
        <v>39.5</v>
      </c>
      <c r="Q10" s="13"/>
      <c r="R10" s="13"/>
      <c r="S10" s="13" t="n">
        <v>0.3</v>
      </c>
      <c r="T10" s="13" t="n">
        <v>0.15</v>
      </c>
      <c r="U10" s="35" t="n">
        <f aca="false">IFERROR(IF(Q10="",N(L10),N(Q10))+N(H10)*(IF(R10="",N(M10),N(R10))+Parámetros!$B$10*(IF(S10="",N(N10),N(S10))+IF(T10="",N(O10),N(T10)))),0)</f>
        <v>21.5</v>
      </c>
      <c r="V10" s="9"/>
      <c r="W10" s="9"/>
      <c r="X10" s="9" t="s">
        <v>170</v>
      </c>
      <c r="Y10" s="9" t="s">
        <v>171</v>
      </c>
      <c r="Z10" s="36" t="n">
        <f aca="false">IFERROR(P10-U10,0)</f>
        <v>18</v>
      </c>
      <c r="AA10" s="37" t="n">
        <f aca="false">IFERROR(IF(P10&gt;0,Z10/P10,0),0)</f>
        <v>0.455696202531646</v>
      </c>
      <c r="AB10" s="13" t="n">
        <v>10</v>
      </c>
      <c r="AC10" s="36" t="n">
        <f aca="false">IFERROR(N(H10)*N(AB10),0)</f>
        <v>10</v>
      </c>
      <c r="AD10" s="9" t="s">
        <v>172</v>
      </c>
      <c r="AE10" s="9" t="s">
        <v>173</v>
      </c>
      <c r="AF10" s="9" t="s">
        <v>174</v>
      </c>
    </row>
    <row r="11" customFormat="false" ht="45.75" hidden="false" customHeight="true" outlineLevel="0" collapsed="false">
      <c r="A11" s="31" t="s">
        <v>175</v>
      </c>
      <c r="B11" s="9" t="s">
        <v>176</v>
      </c>
      <c r="C11" s="32" t="s">
        <v>84</v>
      </c>
      <c r="D11" s="32" t="s">
        <v>81</v>
      </c>
      <c r="E11" s="32" t="s">
        <v>82</v>
      </c>
      <c r="F11" s="32" t="s">
        <v>97</v>
      </c>
      <c r="G11" s="32" t="s">
        <v>145</v>
      </c>
      <c r="H11" s="33" t="n">
        <v>1</v>
      </c>
      <c r="I11" s="33" t="n">
        <v>13</v>
      </c>
      <c r="J11" s="33" t="n">
        <v>13</v>
      </c>
      <c r="K11" s="34" t="n">
        <v>25</v>
      </c>
      <c r="L11" s="13" t="n">
        <v>3</v>
      </c>
      <c r="M11" s="13" t="n">
        <v>0.5</v>
      </c>
      <c r="N11" s="13" t="n">
        <v>1</v>
      </c>
      <c r="O11" s="13" t="n">
        <v>0.3</v>
      </c>
      <c r="P11" s="35" t="n">
        <f aca="false">IFERROR(N(L11)+N(H11)*(N(M11)+Parámetros!$B$10*(N(N11)+N(O11))),0)</f>
        <v>55.5</v>
      </c>
      <c r="Q11" s="13"/>
      <c r="R11" s="13"/>
      <c r="S11" s="13"/>
      <c r="T11" s="13"/>
      <c r="U11" s="35" t="n">
        <f aca="false">IFERROR(IF(Q11="",N(L11),N(Q11))+N(H11)*(IF(R11="",N(M11),N(R11))+Parámetros!$B$10*(IF(S11="",N(N11),N(S11))+IF(T11="",N(O11),N(T11)))),0)</f>
        <v>55.5</v>
      </c>
      <c r="V11" s="9"/>
      <c r="W11" s="9"/>
      <c r="X11" s="9" t="s">
        <v>177</v>
      </c>
      <c r="Y11" s="9"/>
      <c r="Z11" s="36" t="n">
        <f aca="false">IFERROR(P11-U11,0)</f>
        <v>0</v>
      </c>
      <c r="AA11" s="37" t="n">
        <f aca="false">IFERROR(IF(P11&gt;0,Z11/P11,0),0)</f>
        <v>0</v>
      </c>
      <c r="AB11" s="13" t="n">
        <v>25</v>
      </c>
      <c r="AC11" s="36" t="n">
        <f aca="false">IFERROR(N(H11)*N(AB11),0)</f>
        <v>25</v>
      </c>
      <c r="AD11" s="9" t="s">
        <v>178</v>
      </c>
      <c r="AE11" s="9" t="s">
        <v>179</v>
      </c>
      <c r="AF11" s="9" t="s">
        <v>180</v>
      </c>
    </row>
    <row r="12" customFormat="false" ht="45.75" hidden="false" customHeight="true" outlineLevel="0" collapsed="false">
      <c r="A12" s="31" t="s">
        <v>181</v>
      </c>
      <c r="B12" s="9" t="s">
        <v>182</v>
      </c>
      <c r="C12" s="32" t="s">
        <v>79</v>
      </c>
      <c r="D12" s="32" t="s">
        <v>81</v>
      </c>
      <c r="E12" s="32" t="s">
        <v>82</v>
      </c>
      <c r="F12" s="32" t="s">
        <v>83</v>
      </c>
      <c r="G12" s="32" t="s">
        <v>169</v>
      </c>
      <c r="H12" s="33" t="n">
        <v>1</v>
      </c>
      <c r="I12" s="33" t="n">
        <v>15</v>
      </c>
      <c r="J12" s="33" t="n">
        <v>15</v>
      </c>
      <c r="K12" s="34" t="n">
        <v>30</v>
      </c>
      <c r="L12" s="13" t="n">
        <v>8</v>
      </c>
      <c r="M12" s="13" t="n">
        <v>2</v>
      </c>
      <c r="N12" s="13" t="n">
        <v>0.5</v>
      </c>
      <c r="O12" s="13" t="n">
        <v>0.1</v>
      </c>
      <c r="P12" s="35" t="n">
        <f aca="false">IFERROR(N(L12)+N(H12)*(N(M12)+Parámetros!$B$10*(N(N12)+N(O12))),0)</f>
        <v>34</v>
      </c>
      <c r="Q12" s="13"/>
      <c r="R12" s="13"/>
      <c r="S12" s="13"/>
      <c r="T12" s="13"/>
      <c r="U12" s="35" t="n">
        <f aca="false">IFERROR(IF(Q12="",N(L12),N(Q12))+N(H12)*(IF(R12="",N(M12),N(R12))+Parámetros!$B$10*(IF(S12="",N(N12),N(S12))+IF(T12="",N(O12),N(T12)))),0)</f>
        <v>34</v>
      </c>
      <c r="V12" s="9"/>
      <c r="W12" s="9"/>
      <c r="X12" s="9"/>
      <c r="Y12" s="9"/>
      <c r="Z12" s="36" t="n">
        <f aca="false">IFERROR(P12-U12,0)</f>
        <v>0</v>
      </c>
      <c r="AA12" s="37" t="n">
        <f aca="false">IFERROR(IF(P12&gt;0,Z12/P12,0),0)</f>
        <v>0</v>
      </c>
      <c r="AB12" s="13" t="n">
        <v>22</v>
      </c>
      <c r="AC12" s="36" t="n">
        <f aca="false">IFERROR(N(H12)*N(AB12),0)</f>
        <v>22</v>
      </c>
      <c r="AD12" s="9" t="s">
        <v>183</v>
      </c>
      <c r="AE12" s="9" t="s">
        <v>165</v>
      </c>
      <c r="AF12" s="9" t="s">
        <v>184</v>
      </c>
    </row>
    <row r="13" customFormat="false" ht="45.75" hidden="false" customHeight="true" outlineLevel="0" collapsed="false">
      <c r="A13" s="31" t="s">
        <v>185</v>
      </c>
      <c r="B13" s="9" t="s">
        <v>186</v>
      </c>
      <c r="C13" s="32" t="s">
        <v>100</v>
      </c>
      <c r="D13" s="32" t="s">
        <v>92</v>
      </c>
      <c r="E13" s="32" t="s">
        <v>102</v>
      </c>
      <c r="F13" s="32" t="s">
        <v>47</v>
      </c>
      <c r="G13" s="32" t="s">
        <v>187</v>
      </c>
      <c r="H13" s="33" t="n">
        <v>8</v>
      </c>
      <c r="I13" s="33" t="n">
        <v>6</v>
      </c>
      <c r="J13" s="33" t="n">
        <v>14</v>
      </c>
      <c r="K13" s="34" t="n">
        <v>0</v>
      </c>
      <c r="L13" s="13" t="n">
        <v>0.5</v>
      </c>
      <c r="M13" s="13" t="n">
        <v>0.5</v>
      </c>
      <c r="N13" s="13" t="n">
        <v>0</v>
      </c>
      <c r="O13" s="13" t="n">
        <v>0</v>
      </c>
      <c r="P13" s="35" t="n">
        <f aca="false">IFERROR(N(L13)+N(H13)*(N(M13)+Parámetros!$B$10*(N(N13)+N(O13))),0)</f>
        <v>4.5</v>
      </c>
      <c r="Q13" s="13"/>
      <c r="R13" s="13" t="n">
        <v>0.3</v>
      </c>
      <c r="S13" s="13"/>
      <c r="T13" s="13"/>
      <c r="U13" s="35" t="n">
        <f aca="false">IFERROR(IF(Q13="",N(L13),N(Q13))+N(H13)*(IF(R13="",N(M13),N(R13))+Parámetros!$B$10*(IF(S13="",N(N13),N(S13))+IF(T13="",N(O13),N(T13)))),0)</f>
        <v>2.9</v>
      </c>
      <c r="V13" s="9"/>
      <c r="W13" s="9" t="s">
        <v>188</v>
      </c>
      <c r="X13" s="9"/>
      <c r="Y13" s="9"/>
      <c r="Z13" s="36" t="n">
        <f aca="false">IFERROR(P13-U13,0)</f>
        <v>1.6</v>
      </c>
      <c r="AA13" s="37" t="n">
        <f aca="false">IFERROR(IF(P13&gt;0,Z13/P13,0),0)</f>
        <v>0.355555555555556</v>
      </c>
      <c r="AB13" s="13" t="n">
        <v>0.5</v>
      </c>
      <c r="AC13" s="36" t="n">
        <f aca="false">IFERROR(N(H13)*N(AB13),0)</f>
        <v>4</v>
      </c>
      <c r="AD13" s="9" t="s">
        <v>189</v>
      </c>
      <c r="AE13" s="9" t="s">
        <v>190</v>
      </c>
      <c r="AF13" s="9" t="s">
        <v>191</v>
      </c>
    </row>
    <row r="14" customFormat="false" ht="15" hidden="false" customHeight="true" outlineLevel="0" collapsed="false">
      <c r="A14" s="31" t="s">
        <v>192</v>
      </c>
      <c r="B14" s="9"/>
      <c r="C14" s="32"/>
      <c r="D14" s="32"/>
      <c r="E14" s="32"/>
      <c r="F14" s="32"/>
      <c r="G14" s="32"/>
      <c r="H14" s="33"/>
      <c r="I14" s="33"/>
      <c r="J14" s="33"/>
      <c r="K14" s="34"/>
      <c r="L14" s="13"/>
      <c r="M14" s="13"/>
      <c r="N14" s="13"/>
      <c r="O14" s="13"/>
      <c r="P14" s="35" t="n">
        <f aca="false">IFERROR(N(L14)+N(H14)*(N(M14)+Parámetros!$B$10*(N(N14)+N(O14))),0)</f>
        <v>0</v>
      </c>
      <c r="Q14" s="13"/>
      <c r="R14" s="13"/>
      <c r="S14" s="13"/>
      <c r="T14" s="13"/>
      <c r="U14" s="35" t="n">
        <f aca="false">IFERROR(IF(Q14="",N(L14),N(Q14))+N(H14)*(IF(R14="",N(M14),N(R14))+Parámetros!$B$10*(IF(S14="",N(N14),N(S14))+IF(T14="",N(O14),N(T14)))),0)</f>
        <v>0</v>
      </c>
      <c r="V14" s="9"/>
      <c r="W14" s="9"/>
      <c r="X14" s="9"/>
      <c r="Y14" s="9"/>
      <c r="Z14" s="36" t="n">
        <f aca="false">IFERROR(P14-U14,0)</f>
        <v>0</v>
      </c>
      <c r="AA14" s="37" t="n">
        <f aca="false">IFERROR(IF(P14&gt;0,Z14/P14,0),0)</f>
        <v>0</v>
      </c>
      <c r="AB14" s="13"/>
      <c r="AC14" s="36" t="n">
        <f aca="false">IFERROR(N(H14)*N(AB14),0)</f>
        <v>0</v>
      </c>
      <c r="AD14" s="9"/>
      <c r="AE14" s="9"/>
      <c r="AF14" s="9"/>
    </row>
    <row r="15" customFormat="false" ht="15" hidden="false" customHeight="true" outlineLevel="0" collapsed="false">
      <c r="A15" s="31" t="s">
        <v>193</v>
      </c>
      <c r="B15" s="9"/>
      <c r="C15" s="32"/>
      <c r="D15" s="32"/>
      <c r="E15" s="32"/>
      <c r="F15" s="32"/>
      <c r="G15" s="32"/>
      <c r="H15" s="33"/>
      <c r="I15" s="33"/>
      <c r="J15" s="33"/>
      <c r="K15" s="34"/>
      <c r="L15" s="13"/>
      <c r="M15" s="13"/>
      <c r="N15" s="13"/>
      <c r="O15" s="13"/>
      <c r="P15" s="35" t="n">
        <f aca="false">IFERROR(N(L15)+N(H15)*(N(M15)+Parámetros!$B$10*(N(N15)+N(O15))),0)</f>
        <v>0</v>
      </c>
      <c r="Q15" s="13"/>
      <c r="R15" s="13"/>
      <c r="S15" s="13"/>
      <c r="T15" s="13"/>
      <c r="U15" s="35" t="n">
        <f aca="false">IFERROR(IF(Q15="",N(L15),N(Q15))+N(H15)*(IF(R15="",N(M15),N(R15))+Parámetros!$B$10*(IF(S15="",N(N15),N(S15))+IF(T15="",N(O15),N(T15)))),0)</f>
        <v>0</v>
      </c>
      <c r="V15" s="9"/>
      <c r="W15" s="9"/>
      <c r="X15" s="9"/>
      <c r="Y15" s="9"/>
      <c r="Z15" s="36" t="n">
        <f aca="false">IFERROR(P15-U15,0)</f>
        <v>0</v>
      </c>
      <c r="AA15" s="37" t="n">
        <f aca="false">IFERROR(IF(P15&gt;0,Z15/P15,0),0)</f>
        <v>0</v>
      </c>
      <c r="AB15" s="13"/>
      <c r="AC15" s="36" t="n">
        <f aca="false">IFERROR(N(H15)*N(AB15),0)</f>
        <v>0</v>
      </c>
      <c r="AD15" s="9"/>
      <c r="AE15" s="9"/>
      <c r="AF15" s="9"/>
    </row>
    <row r="16" customFormat="false" ht="15" hidden="false" customHeight="true" outlineLevel="0" collapsed="false">
      <c r="A16" s="31" t="s">
        <v>194</v>
      </c>
      <c r="B16" s="9"/>
      <c r="C16" s="32"/>
      <c r="D16" s="32"/>
      <c r="E16" s="32"/>
      <c r="F16" s="32"/>
      <c r="G16" s="32"/>
      <c r="H16" s="33"/>
      <c r="I16" s="33"/>
      <c r="J16" s="33"/>
      <c r="K16" s="34"/>
      <c r="L16" s="13"/>
      <c r="M16" s="13"/>
      <c r="N16" s="13"/>
      <c r="O16" s="13"/>
      <c r="P16" s="35" t="n">
        <f aca="false">IFERROR(N(L16)+N(H16)*(N(M16)+Parámetros!$B$10*(N(N16)+N(O16))),0)</f>
        <v>0</v>
      </c>
      <c r="Q16" s="13"/>
      <c r="R16" s="13"/>
      <c r="S16" s="13"/>
      <c r="T16" s="13"/>
      <c r="U16" s="35" t="n">
        <f aca="false">IFERROR(IF(Q16="",N(L16),N(Q16))+N(H16)*(IF(R16="",N(M16),N(R16))+Parámetros!$B$10*(IF(S16="",N(N16),N(S16))+IF(T16="",N(O16),N(T16)))),0)</f>
        <v>0</v>
      </c>
      <c r="V16" s="9"/>
      <c r="W16" s="9"/>
      <c r="X16" s="9"/>
      <c r="Y16" s="9"/>
      <c r="Z16" s="36" t="n">
        <f aca="false">IFERROR(P16-U16,0)</f>
        <v>0</v>
      </c>
      <c r="AA16" s="37" t="n">
        <f aca="false">IFERROR(IF(P16&gt;0,Z16/P16,0),0)</f>
        <v>0</v>
      </c>
      <c r="AB16" s="13"/>
      <c r="AC16" s="36" t="n">
        <f aca="false">IFERROR(N(H16)*N(AB16),0)</f>
        <v>0</v>
      </c>
      <c r="AD16" s="9"/>
      <c r="AE16" s="9"/>
      <c r="AF16" s="9"/>
    </row>
    <row r="17" customFormat="false" ht="15" hidden="false" customHeight="true" outlineLevel="0" collapsed="false">
      <c r="A17" s="31" t="s">
        <v>195</v>
      </c>
      <c r="B17" s="9"/>
      <c r="C17" s="32"/>
      <c r="D17" s="32"/>
      <c r="E17" s="32"/>
      <c r="F17" s="32"/>
      <c r="G17" s="32"/>
      <c r="H17" s="33"/>
      <c r="I17" s="33"/>
      <c r="J17" s="33"/>
      <c r="K17" s="34"/>
      <c r="L17" s="13"/>
      <c r="M17" s="13"/>
      <c r="N17" s="13"/>
      <c r="O17" s="13"/>
      <c r="P17" s="35" t="n">
        <f aca="false">IFERROR(N(L17)+N(H17)*(N(M17)+Parámetros!$B$10*(N(N17)+N(O17))),0)</f>
        <v>0</v>
      </c>
      <c r="Q17" s="13"/>
      <c r="R17" s="13"/>
      <c r="S17" s="13"/>
      <c r="T17" s="13"/>
      <c r="U17" s="35" t="n">
        <f aca="false">IFERROR(IF(Q17="",N(L17),N(Q17))+N(H17)*(IF(R17="",N(M17),N(R17))+Parámetros!$B$10*(IF(S17="",N(N17),N(S17))+IF(T17="",N(O17),N(T17)))),0)</f>
        <v>0</v>
      </c>
      <c r="V17" s="9"/>
      <c r="W17" s="9"/>
      <c r="X17" s="9"/>
      <c r="Y17" s="9"/>
      <c r="Z17" s="36" t="n">
        <f aca="false">IFERROR(P17-U17,0)</f>
        <v>0</v>
      </c>
      <c r="AA17" s="37" t="n">
        <f aca="false">IFERROR(IF(P17&gt;0,Z17/P17,0),0)</f>
        <v>0</v>
      </c>
      <c r="AB17" s="13"/>
      <c r="AC17" s="36" t="n">
        <f aca="false">IFERROR(N(H17)*N(AB17),0)</f>
        <v>0</v>
      </c>
      <c r="AD17" s="9"/>
      <c r="AE17" s="9"/>
      <c r="AF17" s="9"/>
    </row>
    <row r="18" customFormat="false" ht="15" hidden="false" customHeight="true" outlineLevel="0" collapsed="false">
      <c r="A18" s="31" t="s">
        <v>196</v>
      </c>
      <c r="B18" s="9"/>
      <c r="C18" s="32"/>
      <c r="D18" s="32"/>
      <c r="E18" s="32"/>
      <c r="F18" s="32"/>
      <c r="G18" s="32"/>
      <c r="H18" s="33"/>
      <c r="I18" s="33"/>
      <c r="J18" s="33"/>
      <c r="K18" s="34"/>
      <c r="L18" s="13"/>
      <c r="M18" s="13"/>
      <c r="N18" s="13"/>
      <c r="O18" s="13"/>
      <c r="P18" s="35" t="n">
        <f aca="false">IFERROR(N(L18)+N(H18)*(N(M18)+Parámetros!$B$10*(N(N18)+N(O18))),0)</f>
        <v>0</v>
      </c>
      <c r="Q18" s="13"/>
      <c r="R18" s="13"/>
      <c r="S18" s="13"/>
      <c r="T18" s="13"/>
      <c r="U18" s="35" t="n">
        <f aca="false">IFERROR(IF(Q18="",N(L18),N(Q18))+N(H18)*(IF(R18="",N(M18),N(R18))+Parámetros!$B$10*(IF(S18="",N(N18),N(S18))+IF(T18="",N(O18),N(T18)))),0)</f>
        <v>0</v>
      </c>
      <c r="V18" s="9"/>
      <c r="W18" s="9"/>
      <c r="X18" s="9"/>
      <c r="Y18" s="9"/>
      <c r="Z18" s="36" t="n">
        <f aca="false">IFERROR(P18-U18,0)</f>
        <v>0</v>
      </c>
      <c r="AA18" s="37" t="n">
        <f aca="false">IFERROR(IF(P18&gt;0,Z18/P18,0),0)</f>
        <v>0</v>
      </c>
      <c r="AB18" s="13"/>
      <c r="AC18" s="36" t="n">
        <f aca="false">IFERROR(N(H18)*N(AB18),0)</f>
        <v>0</v>
      </c>
      <c r="AD18" s="9"/>
      <c r="AE18" s="9"/>
      <c r="AF18" s="9"/>
    </row>
    <row r="19" customFormat="false" ht="15" hidden="false" customHeight="true" outlineLevel="0" collapsed="false">
      <c r="A19" s="31" t="s">
        <v>197</v>
      </c>
      <c r="B19" s="9"/>
      <c r="C19" s="32"/>
      <c r="D19" s="32"/>
      <c r="E19" s="32"/>
      <c r="F19" s="32"/>
      <c r="G19" s="32"/>
      <c r="H19" s="33"/>
      <c r="I19" s="33"/>
      <c r="J19" s="33"/>
      <c r="K19" s="34"/>
      <c r="L19" s="13"/>
      <c r="M19" s="13"/>
      <c r="N19" s="13"/>
      <c r="O19" s="13"/>
      <c r="P19" s="35" t="n">
        <f aca="false">IFERROR(N(L19)+N(H19)*(N(M19)+Parámetros!$B$10*(N(N19)+N(O19))),0)</f>
        <v>0</v>
      </c>
      <c r="Q19" s="13"/>
      <c r="R19" s="13"/>
      <c r="S19" s="13"/>
      <c r="T19" s="13"/>
      <c r="U19" s="35" t="n">
        <f aca="false">IFERROR(IF(Q19="",N(L19),N(Q19))+N(H19)*(IF(R19="",N(M19),N(R19))+Parámetros!$B$10*(IF(S19="",N(N19),N(S19))+IF(T19="",N(O19),N(T19)))),0)</f>
        <v>0</v>
      </c>
      <c r="V19" s="9"/>
      <c r="W19" s="9"/>
      <c r="X19" s="9"/>
      <c r="Y19" s="9"/>
      <c r="Z19" s="36" t="n">
        <f aca="false">IFERROR(P19-U19,0)</f>
        <v>0</v>
      </c>
      <c r="AA19" s="37" t="n">
        <f aca="false">IFERROR(IF(P19&gt;0,Z19/P19,0),0)</f>
        <v>0</v>
      </c>
      <c r="AB19" s="13"/>
      <c r="AC19" s="36" t="n">
        <f aca="false">IFERROR(N(H19)*N(AB19),0)</f>
        <v>0</v>
      </c>
      <c r="AD19" s="9"/>
      <c r="AE19" s="9"/>
      <c r="AF19" s="9"/>
    </row>
    <row r="20" customFormat="false" ht="15" hidden="false" customHeight="true" outlineLevel="0" collapsed="false">
      <c r="A20" s="31" t="s">
        <v>198</v>
      </c>
      <c r="B20" s="9"/>
      <c r="C20" s="32"/>
      <c r="D20" s="32"/>
      <c r="E20" s="32"/>
      <c r="F20" s="32"/>
      <c r="G20" s="32"/>
      <c r="H20" s="33"/>
      <c r="I20" s="33"/>
      <c r="J20" s="33"/>
      <c r="K20" s="34"/>
      <c r="L20" s="13"/>
      <c r="M20" s="13"/>
      <c r="N20" s="13"/>
      <c r="O20" s="13"/>
      <c r="P20" s="35" t="n">
        <f aca="false">IFERROR(N(L20)+N(H20)*(N(M20)+Parámetros!$B$10*(N(N20)+N(O20))),0)</f>
        <v>0</v>
      </c>
      <c r="Q20" s="13"/>
      <c r="R20" s="13"/>
      <c r="S20" s="13"/>
      <c r="T20" s="13"/>
      <c r="U20" s="35" t="n">
        <f aca="false">IFERROR(IF(Q20="",N(L20),N(Q20))+N(H20)*(IF(R20="",N(M20),N(R20))+Parámetros!$B$10*(IF(S20="",N(N20),N(S20))+IF(T20="",N(O20),N(T20)))),0)</f>
        <v>0</v>
      </c>
      <c r="V20" s="9"/>
      <c r="W20" s="9"/>
      <c r="X20" s="9"/>
      <c r="Y20" s="9"/>
      <c r="Z20" s="36" t="n">
        <f aca="false">IFERROR(P20-U20,0)</f>
        <v>0</v>
      </c>
      <c r="AA20" s="37" t="n">
        <f aca="false">IFERROR(IF(P20&gt;0,Z20/P20,0),0)</f>
        <v>0</v>
      </c>
      <c r="AB20" s="13"/>
      <c r="AC20" s="36" t="n">
        <f aca="false">IFERROR(N(H20)*N(AB20),0)</f>
        <v>0</v>
      </c>
      <c r="AD20" s="9"/>
      <c r="AE20" s="9"/>
      <c r="AF20" s="9"/>
    </row>
    <row r="21" customFormat="false" ht="15" hidden="false" customHeight="true" outlineLevel="0" collapsed="false">
      <c r="A21" s="31" t="s">
        <v>199</v>
      </c>
      <c r="B21" s="9"/>
      <c r="C21" s="32"/>
      <c r="D21" s="32"/>
      <c r="E21" s="32"/>
      <c r="F21" s="32"/>
      <c r="G21" s="32"/>
      <c r="H21" s="33"/>
      <c r="I21" s="33"/>
      <c r="J21" s="33"/>
      <c r="K21" s="34"/>
      <c r="L21" s="13"/>
      <c r="M21" s="13"/>
      <c r="N21" s="13"/>
      <c r="O21" s="13"/>
      <c r="P21" s="35" t="n">
        <f aca="false">IFERROR(N(L21)+N(H21)*(N(M21)+Parámetros!$B$10*(N(N21)+N(O21))),0)</f>
        <v>0</v>
      </c>
      <c r="Q21" s="13"/>
      <c r="R21" s="13"/>
      <c r="S21" s="13"/>
      <c r="T21" s="13"/>
      <c r="U21" s="35" t="n">
        <f aca="false">IFERROR(IF(Q21="",N(L21),N(Q21))+N(H21)*(IF(R21="",N(M21),N(R21))+Parámetros!$B$10*(IF(S21="",N(N21),N(S21))+IF(T21="",N(O21),N(T21)))),0)</f>
        <v>0</v>
      </c>
      <c r="V21" s="9"/>
      <c r="W21" s="9"/>
      <c r="X21" s="9"/>
      <c r="Y21" s="9"/>
      <c r="Z21" s="36" t="n">
        <f aca="false">IFERROR(P21-U21,0)</f>
        <v>0</v>
      </c>
      <c r="AA21" s="37" t="n">
        <f aca="false">IFERROR(IF(P21&gt;0,Z21/P21,0),0)</f>
        <v>0</v>
      </c>
      <c r="AB21" s="13"/>
      <c r="AC21" s="36" t="n">
        <f aca="false">IFERROR(N(H21)*N(AB21),0)</f>
        <v>0</v>
      </c>
      <c r="AD21" s="9"/>
      <c r="AE21" s="9"/>
      <c r="AF21" s="9"/>
    </row>
    <row r="22" customFormat="false" ht="15" hidden="false" customHeight="true" outlineLevel="0" collapsed="false">
      <c r="A22" s="31" t="s">
        <v>200</v>
      </c>
      <c r="B22" s="9"/>
      <c r="C22" s="32"/>
      <c r="D22" s="32"/>
      <c r="E22" s="32"/>
      <c r="F22" s="32"/>
      <c r="G22" s="32"/>
      <c r="H22" s="33"/>
      <c r="I22" s="33"/>
      <c r="J22" s="33"/>
      <c r="K22" s="34"/>
      <c r="L22" s="13"/>
      <c r="M22" s="13"/>
      <c r="N22" s="13"/>
      <c r="O22" s="13"/>
      <c r="P22" s="35" t="n">
        <f aca="false">IFERROR(N(L22)+N(H22)*(N(M22)+Parámetros!$B$10*(N(N22)+N(O22))),0)</f>
        <v>0</v>
      </c>
      <c r="Q22" s="13"/>
      <c r="R22" s="13"/>
      <c r="S22" s="13"/>
      <c r="T22" s="13"/>
      <c r="U22" s="35" t="n">
        <f aca="false">IFERROR(IF(Q22="",N(L22),N(Q22))+N(H22)*(IF(R22="",N(M22),N(R22))+Parámetros!$B$10*(IF(S22="",N(N22),N(S22))+IF(T22="",N(O22),N(T22)))),0)</f>
        <v>0</v>
      </c>
      <c r="V22" s="9"/>
      <c r="W22" s="9"/>
      <c r="X22" s="9"/>
      <c r="Y22" s="9"/>
      <c r="Z22" s="36" t="n">
        <f aca="false">IFERROR(P22-U22,0)</f>
        <v>0</v>
      </c>
      <c r="AA22" s="37" t="n">
        <f aca="false">IFERROR(IF(P22&gt;0,Z22/P22,0),0)</f>
        <v>0</v>
      </c>
      <c r="AB22" s="13"/>
      <c r="AC22" s="36" t="n">
        <f aca="false">IFERROR(N(H22)*N(AB22),0)</f>
        <v>0</v>
      </c>
      <c r="AD22" s="9"/>
      <c r="AE22" s="9"/>
      <c r="AF22" s="9"/>
    </row>
    <row r="23" customFormat="false" ht="15" hidden="false" customHeight="true" outlineLevel="0" collapsed="false">
      <c r="A23" s="31" t="s">
        <v>201</v>
      </c>
      <c r="B23" s="9"/>
      <c r="C23" s="32"/>
      <c r="D23" s="32"/>
      <c r="E23" s="32"/>
      <c r="F23" s="32"/>
      <c r="G23" s="32"/>
      <c r="H23" s="33"/>
      <c r="I23" s="33"/>
      <c r="J23" s="33"/>
      <c r="K23" s="34"/>
      <c r="L23" s="13"/>
      <c r="M23" s="13"/>
      <c r="N23" s="13"/>
      <c r="O23" s="13"/>
      <c r="P23" s="35" t="n">
        <f aca="false">IFERROR(N(L23)+N(H23)*(N(M23)+Parámetros!$B$10*(N(N23)+N(O23))),0)</f>
        <v>0</v>
      </c>
      <c r="Q23" s="13"/>
      <c r="R23" s="13"/>
      <c r="S23" s="13"/>
      <c r="T23" s="13"/>
      <c r="U23" s="35" t="n">
        <f aca="false">IFERROR(IF(Q23="",N(L23),N(Q23))+N(H23)*(IF(R23="",N(M23),N(R23))+Parámetros!$B$10*(IF(S23="",N(N23),N(S23))+IF(T23="",N(O23),N(T23)))),0)</f>
        <v>0</v>
      </c>
      <c r="V23" s="9"/>
      <c r="W23" s="9"/>
      <c r="X23" s="9"/>
      <c r="Y23" s="9"/>
      <c r="Z23" s="36" t="n">
        <f aca="false">IFERROR(P23-U23,0)</f>
        <v>0</v>
      </c>
      <c r="AA23" s="37" t="n">
        <f aca="false">IFERROR(IF(P23&gt;0,Z23/P23,0),0)</f>
        <v>0</v>
      </c>
      <c r="AB23" s="13"/>
      <c r="AC23" s="36" t="n">
        <f aca="false">IFERROR(N(H23)*N(AB23),0)</f>
        <v>0</v>
      </c>
      <c r="AD23" s="9"/>
      <c r="AE23" s="9"/>
      <c r="AF23" s="9"/>
    </row>
    <row r="24" customFormat="false" ht="15" hidden="false" customHeight="true" outlineLevel="0" collapsed="false">
      <c r="A24" s="31" t="s">
        <v>202</v>
      </c>
      <c r="B24" s="9"/>
      <c r="C24" s="32"/>
      <c r="D24" s="32"/>
      <c r="E24" s="32"/>
      <c r="F24" s="32"/>
      <c r="G24" s="32"/>
      <c r="H24" s="33"/>
      <c r="I24" s="33"/>
      <c r="J24" s="33"/>
      <c r="K24" s="34"/>
      <c r="L24" s="13"/>
      <c r="M24" s="13"/>
      <c r="N24" s="13"/>
      <c r="O24" s="13"/>
      <c r="P24" s="35" t="n">
        <f aca="false">IFERROR(N(L24)+N(H24)*(N(M24)+Parámetros!$B$10*(N(N24)+N(O24))),0)</f>
        <v>0</v>
      </c>
      <c r="Q24" s="13"/>
      <c r="R24" s="13"/>
      <c r="S24" s="13"/>
      <c r="T24" s="13"/>
      <c r="U24" s="35" t="n">
        <f aca="false">IFERROR(IF(Q24="",N(L24),N(Q24))+N(H24)*(IF(R24="",N(M24),N(R24))+Parámetros!$B$10*(IF(S24="",N(N24),N(S24))+IF(T24="",N(O24),N(T24)))),0)</f>
        <v>0</v>
      </c>
      <c r="V24" s="9"/>
      <c r="W24" s="9"/>
      <c r="X24" s="9"/>
      <c r="Y24" s="9"/>
      <c r="Z24" s="36" t="n">
        <f aca="false">IFERROR(P24-U24,0)</f>
        <v>0</v>
      </c>
      <c r="AA24" s="37" t="n">
        <f aca="false">IFERROR(IF(P24&gt;0,Z24/P24,0),0)</f>
        <v>0</v>
      </c>
      <c r="AB24" s="13"/>
      <c r="AC24" s="36" t="n">
        <f aca="false">IFERROR(N(H24)*N(AB24),0)</f>
        <v>0</v>
      </c>
      <c r="AD24" s="9"/>
      <c r="AE24" s="9"/>
      <c r="AF24" s="9"/>
    </row>
    <row r="25" customFormat="false" ht="15" hidden="false" customHeight="true" outlineLevel="0" collapsed="false">
      <c r="A25" s="31" t="s">
        <v>203</v>
      </c>
      <c r="B25" s="9"/>
      <c r="C25" s="32"/>
      <c r="D25" s="32"/>
      <c r="E25" s="32"/>
      <c r="F25" s="32"/>
      <c r="G25" s="32"/>
      <c r="H25" s="33"/>
      <c r="I25" s="33"/>
      <c r="J25" s="33"/>
      <c r="K25" s="34"/>
      <c r="L25" s="13"/>
      <c r="M25" s="13"/>
      <c r="N25" s="13"/>
      <c r="O25" s="13"/>
      <c r="P25" s="35" t="n">
        <f aca="false">IFERROR(N(L25)+N(H25)*(N(M25)+Parámetros!$B$10*(N(N25)+N(O25))),0)</f>
        <v>0</v>
      </c>
      <c r="Q25" s="13"/>
      <c r="R25" s="13"/>
      <c r="S25" s="13"/>
      <c r="T25" s="13"/>
      <c r="U25" s="35" t="n">
        <f aca="false">IFERROR(IF(Q25="",N(L25),N(Q25))+N(H25)*(IF(R25="",N(M25),N(R25))+Parámetros!$B$10*(IF(S25="",N(N25),N(S25))+IF(T25="",N(O25),N(T25)))),0)</f>
        <v>0</v>
      </c>
      <c r="V25" s="9"/>
      <c r="W25" s="9"/>
      <c r="X25" s="9"/>
      <c r="Y25" s="9"/>
      <c r="Z25" s="36" t="n">
        <f aca="false">IFERROR(P25-U25,0)</f>
        <v>0</v>
      </c>
      <c r="AA25" s="37" t="n">
        <f aca="false">IFERROR(IF(P25&gt;0,Z25/P25,0),0)</f>
        <v>0</v>
      </c>
      <c r="AB25" s="13"/>
      <c r="AC25" s="36" t="n">
        <f aca="false">IFERROR(N(H25)*N(AB25),0)</f>
        <v>0</v>
      </c>
      <c r="AD25" s="9"/>
      <c r="AE25" s="9"/>
      <c r="AF25" s="9"/>
    </row>
    <row r="26" customFormat="false" ht="15" hidden="false" customHeight="true" outlineLevel="0" collapsed="false">
      <c r="A26" s="31" t="s">
        <v>204</v>
      </c>
      <c r="B26" s="9"/>
      <c r="C26" s="32"/>
      <c r="D26" s="32"/>
      <c r="E26" s="32"/>
      <c r="F26" s="32"/>
      <c r="G26" s="32"/>
      <c r="H26" s="33"/>
      <c r="I26" s="33"/>
      <c r="J26" s="33"/>
      <c r="K26" s="34"/>
      <c r="L26" s="13"/>
      <c r="M26" s="13"/>
      <c r="N26" s="13"/>
      <c r="O26" s="13"/>
      <c r="P26" s="35" t="n">
        <f aca="false">IFERROR(N(L26)+N(H26)*(N(M26)+Parámetros!$B$10*(N(N26)+N(O26))),0)</f>
        <v>0</v>
      </c>
      <c r="Q26" s="13"/>
      <c r="R26" s="13"/>
      <c r="S26" s="13"/>
      <c r="T26" s="13"/>
      <c r="U26" s="35" t="n">
        <f aca="false">IFERROR(IF(Q26="",N(L26),N(Q26))+N(H26)*(IF(R26="",N(M26),N(R26))+Parámetros!$B$10*(IF(S26="",N(N26),N(S26))+IF(T26="",N(O26),N(T26)))),0)</f>
        <v>0</v>
      </c>
      <c r="V26" s="9"/>
      <c r="W26" s="9"/>
      <c r="X26" s="9"/>
      <c r="Y26" s="9"/>
      <c r="Z26" s="36" t="n">
        <f aca="false">IFERROR(P26-U26,0)</f>
        <v>0</v>
      </c>
      <c r="AA26" s="37" t="n">
        <f aca="false">IFERROR(IF(P26&gt;0,Z26/P26,0),0)</f>
        <v>0</v>
      </c>
      <c r="AB26" s="13"/>
      <c r="AC26" s="36" t="n">
        <f aca="false">IFERROR(N(H26)*N(AB26),0)</f>
        <v>0</v>
      </c>
      <c r="AD26" s="9"/>
      <c r="AE26" s="9"/>
      <c r="AF26" s="9"/>
    </row>
    <row r="27" customFormat="false" ht="15" hidden="false" customHeight="true" outlineLevel="0" collapsed="false">
      <c r="A27" s="31" t="s">
        <v>205</v>
      </c>
      <c r="B27" s="9"/>
      <c r="C27" s="32"/>
      <c r="D27" s="32"/>
      <c r="E27" s="32"/>
      <c r="F27" s="32"/>
      <c r="G27" s="32"/>
      <c r="H27" s="33"/>
      <c r="I27" s="33"/>
      <c r="J27" s="33"/>
      <c r="K27" s="34"/>
      <c r="L27" s="13"/>
      <c r="M27" s="13"/>
      <c r="N27" s="13"/>
      <c r="O27" s="13"/>
      <c r="P27" s="35" t="n">
        <f aca="false">IFERROR(N(L27)+N(H27)*(N(M27)+Parámetros!$B$10*(N(N27)+N(O27))),0)</f>
        <v>0</v>
      </c>
      <c r="Q27" s="13"/>
      <c r="R27" s="13"/>
      <c r="S27" s="13"/>
      <c r="T27" s="13"/>
      <c r="U27" s="35" t="n">
        <f aca="false">IFERROR(IF(Q27="",N(L27),N(Q27))+N(H27)*(IF(R27="",N(M27),N(R27))+Parámetros!$B$10*(IF(S27="",N(N27),N(S27))+IF(T27="",N(O27),N(T27)))),0)</f>
        <v>0</v>
      </c>
      <c r="V27" s="9"/>
      <c r="W27" s="9"/>
      <c r="X27" s="9"/>
      <c r="Y27" s="9"/>
      <c r="Z27" s="36" t="n">
        <f aca="false">IFERROR(P27-U27,0)</f>
        <v>0</v>
      </c>
      <c r="AA27" s="37" t="n">
        <f aca="false">IFERROR(IF(P27&gt;0,Z27/P27,0),0)</f>
        <v>0</v>
      </c>
      <c r="AB27" s="13"/>
      <c r="AC27" s="36" t="n">
        <f aca="false">IFERROR(N(H27)*N(AB27),0)</f>
        <v>0</v>
      </c>
      <c r="AD27" s="9"/>
      <c r="AE27" s="9"/>
      <c r="AF27" s="9"/>
    </row>
    <row r="28" customFormat="false" ht="15" hidden="false" customHeight="true" outlineLevel="0" collapsed="false">
      <c r="A28" s="31" t="s">
        <v>206</v>
      </c>
      <c r="B28" s="9"/>
      <c r="C28" s="32"/>
      <c r="D28" s="32"/>
      <c r="E28" s="32"/>
      <c r="F28" s="32"/>
      <c r="G28" s="32"/>
      <c r="H28" s="33"/>
      <c r="I28" s="33"/>
      <c r="J28" s="33"/>
      <c r="K28" s="34"/>
      <c r="L28" s="13"/>
      <c r="M28" s="13"/>
      <c r="N28" s="13"/>
      <c r="O28" s="13"/>
      <c r="P28" s="35" t="n">
        <f aca="false">IFERROR(N(L28)+N(H28)*(N(M28)+Parámetros!$B$10*(N(N28)+N(O28))),0)</f>
        <v>0</v>
      </c>
      <c r="Q28" s="13"/>
      <c r="R28" s="13"/>
      <c r="S28" s="13"/>
      <c r="T28" s="13"/>
      <c r="U28" s="35" t="n">
        <f aca="false">IFERROR(IF(Q28="",N(L28),N(Q28))+N(H28)*(IF(R28="",N(M28),N(R28))+Parámetros!$B$10*(IF(S28="",N(N28),N(S28))+IF(T28="",N(O28),N(T28)))),0)</f>
        <v>0</v>
      </c>
      <c r="V28" s="9"/>
      <c r="W28" s="9"/>
      <c r="X28" s="9"/>
      <c r="Y28" s="9"/>
      <c r="Z28" s="36" t="n">
        <f aca="false">IFERROR(P28-U28,0)</f>
        <v>0</v>
      </c>
      <c r="AA28" s="37" t="n">
        <f aca="false">IFERROR(IF(P28&gt;0,Z28/P28,0),0)</f>
        <v>0</v>
      </c>
      <c r="AB28" s="13"/>
      <c r="AC28" s="36" t="n">
        <f aca="false">IFERROR(N(H28)*N(AB28),0)</f>
        <v>0</v>
      </c>
      <c r="AD28" s="9"/>
      <c r="AE28" s="9"/>
      <c r="AF28" s="9"/>
    </row>
    <row r="29" customFormat="false" ht="15" hidden="false" customHeight="true" outlineLevel="0" collapsed="false">
      <c r="A29" s="31" t="s">
        <v>207</v>
      </c>
      <c r="B29" s="9"/>
      <c r="C29" s="32"/>
      <c r="D29" s="32"/>
      <c r="E29" s="32"/>
      <c r="F29" s="32"/>
      <c r="G29" s="32"/>
      <c r="H29" s="33"/>
      <c r="I29" s="33"/>
      <c r="J29" s="33"/>
      <c r="K29" s="34"/>
      <c r="L29" s="13"/>
      <c r="M29" s="13"/>
      <c r="N29" s="13"/>
      <c r="O29" s="13"/>
      <c r="P29" s="35" t="n">
        <f aca="false">IFERROR(N(L29)+N(H29)*(N(M29)+Parámetros!$B$10*(N(N29)+N(O29))),0)</f>
        <v>0</v>
      </c>
      <c r="Q29" s="13"/>
      <c r="R29" s="13"/>
      <c r="S29" s="13"/>
      <c r="T29" s="13"/>
      <c r="U29" s="35" t="n">
        <f aca="false">IFERROR(IF(Q29="",N(L29),N(Q29))+N(H29)*(IF(R29="",N(M29),N(R29))+Parámetros!$B$10*(IF(S29="",N(N29),N(S29))+IF(T29="",N(O29),N(T29)))),0)</f>
        <v>0</v>
      </c>
      <c r="V29" s="9"/>
      <c r="W29" s="9"/>
      <c r="X29" s="9"/>
      <c r="Y29" s="9"/>
      <c r="Z29" s="36" t="n">
        <f aca="false">IFERROR(P29-U29,0)</f>
        <v>0</v>
      </c>
      <c r="AA29" s="37" t="n">
        <f aca="false">IFERROR(IF(P29&gt;0,Z29/P29,0),0)</f>
        <v>0</v>
      </c>
      <c r="AB29" s="13"/>
      <c r="AC29" s="36" t="n">
        <f aca="false">IFERROR(N(H29)*N(AB29),0)</f>
        <v>0</v>
      </c>
      <c r="AD29" s="9"/>
      <c r="AE29" s="9"/>
      <c r="AF29" s="9"/>
    </row>
    <row r="30" customFormat="false" ht="15" hidden="false" customHeight="true" outlineLevel="0" collapsed="false">
      <c r="A30" s="31" t="s">
        <v>208</v>
      </c>
      <c r="B30" s="9"/>
      <c r="C30" s="32"/>
      <c r="D30" s="32"/>
      <c r="E30" s="32"/>
      <c r="F30" s="32"/>
      <c r="G30" s="32"/>
      <c r="H30" s="33"/>
      <c r="I30" s="33"/>
      <c r="J30" s="33"/>
      <c r="K30" s="34"/>
      <c r="L30" s="13"/>
      <c r="M30" s="13"/>
      <c r="N30" s="13"/>
      <c r="O30" s="13"/>
      <c r="P30" s="35" t="n">
        <f aca="false">IFERROR(N(L30)+N(H30)*(N(M30)+Parámetros!$B$10*(N(N30)+N(O30))),0)</f>
        <v>0</v>
      </c>
      <c r="Q30" s="13"/>
      <c r="R30" s="13"/>
      <c r="S30" s="13"/>
      <c r="T30" s="13"/>
      <c r="U30" s="35" t="n">
        <f aca="false">IFERROR(IF(Q30="",N(L30),N(Q30))+N(H30)*(IF(R30="",N(M30),N(R30))+Parámetros!$B$10*(IF(S30="",N(N30),N(S30))+IF(T30="",N(O30),N(T30)))),0)</f>
        <v>0</v>
      </c>
      <c r="V30" s="9"/>
      <c r="W30" s="9"/>
      <c r="X30" s="9"/>
      <c r="Y30" s="9"/>
      <c r="Z30" s="36" t="n">
        <f aca="false">IFERROR(P30-U30,0)</f>
        <v>0</v>
      </c>
      <c r="AA30" s="37" t="n">
        <f aca="false">IFERROR(IF(P30&gt;0,Z30/P30,0),0)</f>
        <v>0</v>
      </c>
      <c r="AB30" s="13"/>
      <c r="AC30" s="36" t="n">
        <f aca="false">IFERROR(N(H30)*N(AB30),0)</f>
        <v>0</v>
      </c>
      <c r="AD30" s="9"/>
      <c r="AE30" s="9"/>
      <c r="AF30" s="9"/>
    </row>
    <row r="32" customFormat="false" ht="23.25" hidden="false" customHeight="true" outlineLevel="0" collapsed="false">
      <c r="A32" s="7" t="s">
        <v>209</v>
      </c>
      <c r="H32" s="38" t="n">
        <f aca="false">SUM(H6:H30)</f>
        <v>24</v>
      </c>
      <c r="K32" s="38" t="n">
        <f aca="false">SUM(K6:K30)</f>
        <v>100</v>
      </c>
      <c r="P32" s="38" t="n">
        <f aca="false">SUM(P6:P30)</f>
        <v>280</v>
      </c>
      <c r="U32" s="38" t="n">
        <f aca="false">SUM(U6:U30)</f>
        <v>249.4</v>
      </c>
      <c r="Z32" s="38" t="n">
        <f aca="false">SUM(Z6:Z30)</f>
        <v>30.6</v>
      </c>
      <c r="AA32" s="39" t="n">
        <f aca="false">IFERROR(IF(P32&gt;0,Z32/P32,0),0)</f>
        <v>0.109285714285714</v>
      </c>
      <c r="AC32" s="38" t="n">
        <f aca="false">SUM(AC6:AC30)</f>
        <v>87</v>
      </c>
    </row>
  </sheetData>
  <mergeCells count="8">
    <mergeCell ref="A2:AF2"/>
    <mergeCell ref="A4:K4"/>
    <mergeCell ref="L4:P4"/>
    <mergeCell ref="Q4:U4"/>
    <mergeCell ref="V4:Y4"/>
    <mergeCell ref="Z4:AA4"/>
    <mergeCell ref="AB4:AC4"/>
    <mergeCell ref="AD4:AF4"/>
  </mergeCells>
  <dataValidations count="5">
    <dataValidation allowBlank="true" errorStyle="stop" operator="between" showDropDown="false" showErrorMessage="false" showInputMessage="false" sqref="C6:C30" type="list">
      <formula1>"T1,T2,T3,T4,T5,T6,T7,T8,T9,T-Otro"</formula1>
      <formula2>0</formula2>
    </dataValidation>
    <dataValidation allowBlank="true" errorStyle="stop" operator="between" showDropDown="false" showErrorMessage="false" showInputMessage="false" sqref="D6:D30" type="list">
      <formula1>"Formativo,Sumativo,Mixto"</formula1>
      <formula2>0</formula2>
    </dataValidation>
    <dataValidation allowBlank="true" errorStyle="stop" operator="between" showDropDown="false" showErrorMessage="false" showInputMessage="false" sqref="E6:E30" type="list">
      <formula1>"Puntual,Serie,Continuo"</formula1>
      <formula2>0</formula2>
    </dataValidation>
    <dataValidation allowBlank="true" errorStyle="stop" operator="between" showDropDown="false" showErrorMessage="false" showInputMessage="false" sqref="F6:F30" type="list">
      <formula1>"Restringida,Declarada,Abierta,No aplica"</formula1>
      <formula2>0</formula2>
    </dataValidation>
    <dataValidation allowBlank="true" errorStyle="stop" operator="between" showDropDown="false" showErrorMessage="false" showInputMessage="false" sqref="G6:G30" type="list">
      <formula1>"Coordinador,Profesor,Ambos"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8" min="3" style="1" width="26"/>
  </cols>
  <sheetData>
    <row r="1" customFormat="false" ht="19.5" hidden="false" customHeight="true" outlineLevel="0" collapsed="false">
      <c r="A1" s="2" t="s">
        <v>210</v>
      </c>
    </row>
    <row r="2" customFormat="false" ht="15" hidden="false" customHeight="true" outlineLevel="0" collapsed="false">
      <c r="A2" s="6" t="s">
        <v>211</v>
      </c>
      <c r="B2" s="6"/>
      <c r="C2" s="6"/>
      <c r="D2" s="6"/>
      <c r="E2" s="6"/>
      <c r="F2" s="6"/>
      <c r="G2" s="6"/>
      <c r="H2" s="6"/>
    </row>
    <row r="4" customFormat="false" ht="39.75" hidden="false" customHeight="true" outlineLevel="0" collapsed="false">
      <c r="A4" s="7" t="s">
        <v>69</v>
      </c>
      <c r="B4" s="7" t="s">
        <v>123</v>
      </c>
      <c r="C4" s="7" t="s">
        <v>212</v>
      </c>
      <c r="D4" s="7" t="s">
        <v>213</v>
      </c>
      <c r="E4" s="7" t="s">
        <v>214</v>
      </c>
      <c r="F4" s="7" t="s">
        <v>215</v>
      </c>
      <c r="G4" s="7" t="s">
        <v>216</v>
      </c>
      <c r="H4" s="7" t="s">
        <v>217</v>
      </c>
    </row>
    <row r="5" customFormat="false" ht="39.75" hidden="false" customHeight="true" outlineLevel="0" collapsed="false">
      <c r="A5" s="40" t="str">
        <f aca="false">IF(Touchpoints!A6="","",Touchpoints!A6)</f>
        <v>TP1</v>
      </c>
      <c r="B5" s="41" t="str">
        <f aca="false">IF(Touchpoints!B6="","",Touchpoints!B6)</f>
        <v>Prueba diagnóstica de conceptos previos</v>
      </c>
      <c r="C5" s="42"/>
      <c r="D5" s="42"/>
      <c r="E5" s="42"/>
      <c r="F5" s="42"/>
      <c r="G5" s="42"/>
      <c r="H5" s="42"/>
    </row>
    <row r="6" customFormat="false" ht="39.75" hidden="false" customHeight="true" outlineLevel="0" collapsed="false">
      <c r="A6" s="40" t="str">
        <f aca="false">IF(Touchpoints!A7="","",Touchpoints!A7)</f>
        <v>TP2</v>
      </c>
      <c r="B6" s="41" t="str">
        <f aca="false">IF(Touchpoints!B7="","",Touchpoints!B7)</f>
        <v>Quiz semanal de teoría</v>
      </c>
      <c r="C6" s="42"/>
      <c r="D6" s="42"/>
      <c r="E6" s="42"/>
      <c r="F6" s="42"/>
      <c r="G6" s="42"/>
      <c r="H6" s="42"/>
    </row>
    <row r="7" customFormat="false" ht="39.75" hidden="false" customHeight="true" outlineLevel="0" collapsed="false">
      <c r="A7" s="40" t="str">
        <f aca="false">IF(Touchpoints!A8="","",Touchpoints!A8)</f>
        <v>TP3</v>
      </c>
      <c r="B7" s="41" t="str">
        <f aca="false">IF(Touchpoints!B8="","",Touchpoints!B8)</f>
        <v>Entrega P1 — Análisis de requisitos</v>
      </c>
      <c r="C7" s="42"/>
      <c r="D7" s="42"/>
      <c r="E7" s="42"/>
      <c r="F7" s="42"/>
      <c r="G7" s="42"/>
      <c r="H7" s="42"/>
    </row>
    <row r="8" customFormat="false" ht="39.75" hidden="false" customHeight="true" outlineLevel="0" collapsed="false">
      <c r="A8" s="40" t="str">
        <f aca="false">IF(Touchpoints!A9="","",Touchpoints!A9)</f>
        <v>TP4</v>
      </c>
      <c r="B8" s="41" t="str">
        <f aca="false">IF(Touchpoints!B9="","",Touchpoints!B9)</f>
        <v>Examen parcial teórico</v>
      </c>
      <c r="C8" s="42"/>
      <c r="D8" s="42"/>
      <c r="E8" s="42"/>
      <c r="F8" s="42"/>
      <c r="G8" s="42"/>
      <c r="H8" s="42"/>
    </row>
    <row r="9" customFormat="false" ht="39.75" hidden="false" customHeight="true" outlineLevel="0" collapsed="false">
      <c r="A9" s="40" t="str">
        <f aca="false">IF(Touchpoints!A10="","",Touchpoints!A10)</f>
        <v>TP5</v>
      </c>
      <c r="B9" s="41" t="str">
        <f aca="false">IF(Touchpoints!B10="","",Touchpoints!B10)</f>
        <v>Entrega P2 — Diseño arquitectónico</v>
      </c>
      <c r="C9" s="42"/>
      <c r="D9" s="42"/>
      <c r="E9" s="42"/>
      <c r="F9" s="42"/>
      <c r="G9" s="42"/>
      <c r="H9" s="42"/>
    </row>
    <row r="10" customFormat="false" ht="39.75" hidden="false" customHeight="true" outlineLevel="0" collapsed="false">
      <c r="A10" s="40" t="str">
        <f aca="false">IF(Touchpoints!A11="","",Touchpoints!A11)</f>
        <v>TP6</v>
      </c>
      <c r="B10" s="41" t="str">
        <f aca="false">IF(Touchpoints!B11="","",Touchpoints!B11)</f>
        <v>Entrega P3 — Implementación y pruebas</v>
      </c>
      <c r="C10" s="42"/>
      <c r="D10" s="42"/>
      <c r="E10" s="42"/>
      <c r="F10" s="42"/>
      <c r="G10" s="42"/>
      <c r="H10" s="42"/>
    </row>
    <row r="11" customFormat="false" ht="39.75" hidden="false" customHeight="true" outlineLevel="0" collapsed="false">
      <c r="A11" s="40" t="str">
        <f aca="false">IF(Touchpoints!A12="","",Touchpoints!A12)</f>
        <v>TP7</v>
      </c>
      <c r="B11" s="41" t="str">
        <f aca="false">IF(Touchpoints!B12="","",Touchpoints!B12)</f>
        <v>Examen final</v>
      </c>
      <c r="C11" s="42"/>
      <c r="D11" s="42"/>
      <c r="E11" s="42"/>
      <c r="F11" s="42"/>
      <c r="G11" s="42"/>
      <c r="H11" s="42"/>
    </row>
    <row r="12" customFormat="false" ht="39.75" hidden="false" customHeight="true" outlineLevel="0" collapsed="false">
      <c r="A12" s="40" t="str">
        <f aca="false">IF(Touchpoints!A13="","",Touchpoints!A13)</f>
        <v>TP8</v>
      </c>
      <c r="B12" s="41" t="str">
        <f aca="false">IF(Touchpoints!B13="","",Touchpoints!B13)</f>
        <v>Tutoría 1 a 1</v>
      </c>
      <c r="C12" s="42"/>
      <c r="D12" s="42"/>
      <c r="E12" s="42"/>
      <c r="F12" s="42"/>
      <c r="G12" s="42"/>
      <c r="H12" s="42"/>
    </row>
    <row r="13" customFormat="false" ht="39.75" hidden="false" customHeight="true" outlineLevel="0" collapsed="false">
      <c r="A13" s="40" t="str">
        <f aca="false">IF(Touchpoints!A14="","",Touchpoints!A14)</f>
        <v>TP9</v>
      </c>
      <c r="B13" s="41" t="str">
        <f aca="false">IF(Touchpoints!B14="","",Touchpoints!B14)</f>
        <v/>
      </c>
      <c r="C13" s="42"/>
      <c r="D13" s="42"/>
      <c r="E13" s="42"/>
      <c r="F13" s="42"/>
      <c r="G13" s="42"/>
      <c r="H13" s="42"/>
    </row>
    <row r="14" customFormat="false" ht="39.75" hidden="false" customHeight="true" outlineLevel="0" collapsed="false">
      <c r="A14" s="40" t="str">
        <f aca="false">IF(Touchpoints!A15="","",Touchpoints!A15)</f>
        <v>TP10</v>
      </c>
      <c r="B14" s="41" t="str">
        <f aca="false">IF(Touchpoints!B15="","",Touchpoints!B15)</f>
        <v/>
      </c>
      <c r="C14" s="42"/>
      <c r="D14" s="42"/>
      <c r="E14" s="42"/>
      <c r="F14" s="42"/>
      <c r="G14" s="42"/>
      <c r="H14" s="42"/>
    </row>
    <row r="15" customFormat="false" ht="39.75" hidden="false" customHeight="true" outlineLevel="0" collapsed="false">
      <c r="A15" s="40" t="str">
        <f aca="false">IF(Touchpoints!A16="","",Touchpoints!A16)</f>
        <v>TP11</v>
      </c>
      <c r="B15" s="41" t="str">
        <f aca="false">IF(Touchpoints!B16="","",Touchpoints!B16)</f>
        <v/>
      </c>
      <c r="C15" s="42"/>
      <c r="D15" s="42"/>
      <c r="E15" s="42"/>
      <c r="F15" s="42"/>
      <c r="G15" s="42"/>
      <c r="H15" s="42"/>
    </row>
    <row r="16" customFormat="false" ht="39.75" hidden="false" customHeight="true" outlineLevel="0" collapsed="false">
      <c r="A16" s="40" t="str">
        <f aca="false">IF(Touchpoints!A17="","",Touchpoints!A17)</f>
        <v>TP12</v>
      </c>
      <c r="B16" s="41" t="str">
        <f aca="false">IF(Touchpoints!B17="","",Touchpoints!B17)</f>
        <v/>
      </c>
      <c r="C16" s="42"/>
      <c r="D16" s="42"/>
      <c r="E16" s="42"/>
      <c r="F16" s="42"/>
      <c r="G16" s="42"/>
      <c r="H16" s="42"/>
    </row>
    <row r="17" customFormat="false" ht="39.75" hidden="false" customHeight="true" outlineLevel="0" collapsed="false">
      <c r="A17" s="40" t="str">
        <f aca="false">IF(Touchpoints!A18="","",Touchpoints!A18)</f>
        <v>TP13</v>
      </c>
      <c r="B17" s="41" t="str">
        <f aca="false">IF(Touchpoints!B18="","",Touchpoints!B18)</f>
        <v/>
      </c>
      <c r="C17" s="42"/>
      <c r="D17" s="42"/>
      <c r="E17" s="42"/>
      <c r="F17" s="42"/>
      <c r="G17" s="42"/>
      <c r="H17" s="42"/>
    </row>
    <row r="18" customFormat="false" ht="39.75" hidden="false" customHeight="true" outlineLevel="0" collapsed="false">
      <c r="A18" s="40" t="str">
        <f aca="false">IF(Touchpoints!A19="","",Touchpoints!A19)</f>
        <v>TP14</v>
      </c>
      <c r="B18" s="41" t="str">
        <f aca="false">IF(Touchpoints!B19="","",Touchpoints!B19)</f>
        <v/>
      </c>
      <c r="C18" s="42"/>
      <c r="D18" s="42"/>
      <c r="E18" s="42"/>
      <c r="F18" s="42"/>
      <c r="G18" s="42"/>
      <c r="H18" s="42"/>
    </row>
    <row r="19" customFormat="false" ht="39.75" hidden="false" customHeight="true" outlineLevel="0" collapsed="false">
      <c r="A19" s="40" t="str">
        <f aca="false">IF(Touchpoints!A20="","",Touchpoints!A20)</f>
        <v>TP15</v>
      </c>
      <c r="B19" s="41" t="str">
        <f aca="false">IF(Touchpoints!B20="","",Touchpoints!B20)</f>
        <v/>
      </c>
      <c r="C19" s="42"/>
      <c r="D19" s="42"/>
      <c r="E19" s="42"/>
      <c r="F19" s="42"/>
      <c r="G19" s="42"/>
      <c r="H19" s="42"/>
    </row>
    <row r="20" customFormat="false" ht="39.75" hidden="false" customHeight="true" outlineLevel="0" collapsed="false">
      <c r="A20" s="40" t="str">
        <f aca="false">IF(Touchpoints!A21="","",Touchpoints!A21)</f>
        <v>TP16</v>
      </c>
      <c r="B20" s="41" t="str">
        <f aca="false">IF(Touchpoints!B21="","",Touchpoints!B21)</f>
        <v/>
      </c>
      <c r="C20" s="42"/>
      <c r="D20" s="42"/>
      <c r="E20" s="42"/>
      <c r="F20" s="42"/>
      <c r="G20" s="42"/>
      <c r="H20" s="42"/>
    </row>
    <row r="21" customFormat="false" ht="39.75" hidden="false" customHeight="true" outlineLevel="0" collapsed="false">
      <c r="A21" s="40" t="str">
        <f aca="false">IF(Touchpoints!A22="","",Touchpoints!A22)</f>
        <v>TP17</v>
      </c>
      <c r="B21" s="41" t="str">
        <f aca="false">IF(Touchpoints!B22="","",Touchpoints!B22)</f>
        <v/>
      </c>
      <c r="C21" s="42"/>
      <c r="D21" s="42"/>
      <c r="E21" s="42"/>
      <c r="F21" s="42"/>
      <c r="G21" s="42"/>
      <c r="H21" s="42"/>
    </row>
    <row r="22" customFormat="false" ht="39.75" hidden="false" customHeight="true" outlineLevel="0" collapsed="false">
      <c r="A22" s="40" t="str">
        <f aca="false">IF(Touchpoints!A23="","",Touchpoints!A23)</f>
        <v>TP18</v>
      </c>
      <c r="B22" s="41" t="str">
        <f aca="false">IF(Touchpoints!B23="","",Touchpoints!B23)</f>
        <v/>
      </c>
      <c r="C22" s="42"/>
      <c r="D22" s="42"/>
      <c r="E22" s="42"/>
      <c r="F22" s="42"/>
      <c r="G22" s="42"/>
      <c r="H22" s="42"/>
    </row>
    <row r="23" customFormat="false" ht="39.75" hidden="false" customHeight="true" outlineLevel="0" collapsed="false">
      <c r="A23" s="40" t="str">
        <f aca="false">IF(Touchpoints!A24="","",Touchpoints!A24)</f>
        <v>TP19</v>
      </c>
      <c r="B23" s="41" t="str">
        <f aca="false">IF(Touchpoints!B24="","",Touchpoints!B24)</f>
        <v/>
      </c>
      <c r="C23" s="42"/>
      <c r="D23" s="42"/>
      <c r="E23" s="42"/>
      <c r="F23" s="42"/>
      <c r="G23" s="42"/>
      <c r="H23" s="42"/>
    </row>
    <row r="24" customFormat="false" ht="39.75" hidden="false" customHeight="true" outlineLevel="0" collapsed="false">
      <c r="A24" s="40" t="str">
        <f aca="false">IF(Touchpoints!A25="","",Touchpoints!A25)</f>
        <v>TP20</v>
      </c>
      <c r="B24" s="41" t="str">
        <f aca="false">IF(Touchpoints!B25="","",Touchpoints!B25)</f>
        <v/>
      </c>
      <c r="C24" s="42"/>
      <c r="D24" s="42"/>
      <c r="E24" s="42"/>
      <c r="F24" s="42"/>
      <c r="G24" s="42"/>
      <c r="H24" s="42"/>
    </row>
    <row r="25" customFormat="false" ht="39.75" hidden="false" customHeight="true" outlineLevel="0" collapsed="false">
      <c r="A25" s="40" t="str">
        <f aca="false">IF(Touchpoints!A26="","",Touchpoints!A26)</f>
        <v>TP21</v>
      </c>
      <c r="B25" s="41" t="str">
        <f aca="false">IF(Touchpoints!B26="","",Touchpoints!B26)</f>
        <v/>
      </c>
      <c r="C25" s="42"/>
      <c r="D25" s="42"/>
      <c r="E25" s="42"/>
      <c r="F25" s="42"/>
      <c r="G25" s="42"/>
      <c r="H25" s="42"/>
    </row>
    <row r="26" customFormat="false" ht="39.75" hidden="false" customHeight="true" outlineLevel="0" collapsed="false">
      <c r="A26" s="40" t="str">
        <f aca="false">IF(Touchpoints!A27="","",Touchpoints!A27)</f>
        <v>TP22</v>
      </c>
      <c r="B26" s="41" t="str">
        <f aca="false">IF(Touchpoints!B27="","",Touchpoints!B27)</f>
        <v/>
      </c>
      <c r="C26" s="42"/>
      <c r="D26" s="42"/>
      <c r="E26" s="42"/>
      <c r="F26" s="42"/>
      <c r="G26" s="42"/>
      <c r="H26" s="42"/>
    </row>
    <row r="27" customFormat="false" ht="39.75" hidden="false" customHeight="true" outlineLevel="0" collapsed="false">
      <c r="A27" s="40" t="str">
        <f aca="false">IF(Touchpoints!A28="","",Touchpoints!A28)</f>
        <v>TP23</v>
      </c>
      <c r="B27" s="41" t="str">
        <f aca="false">IF(Touchpoints!B28="","",Touchpoints!B28)</f>
        <v/>
      </c>
      <c r="C27" s="42"/>
      <c r="D27" s="42"/>
      <c r="E27" s="42"/>
      <c r="F27" s="42"/>
      <c r="G27" s="42"/>
      <c r="H27" s="42"/>
    </row>
    <row r="28" customFormat="false" ht="39.75" hidden="false" customHeight="true" outlineLevel="0" collapsed="false">
      <c r="A28" s="40" t="str">
        <f aca="false">IF(Touchpoints!A29="","",Touchpoints!A29)</f>
        <v>TP24</v>
      </c>
      <c r="B28" s="41" t="str">
        <f aca="false">IF(Touchpoints!B29="","",Touchpoints!B29)</f>
        <v/>
      </c>
      <c r="C28" s="42"/>
      <c r="D28" s="42"/>
      <c r="E28" s="42"/>
      <c r="F28" s="42"/>
      <c r="G28" s="42"/>
      <c r="H28" s="42"/>
    </row>
    <row r="29" customFormat="false" ht="39.75" hidden="false" customHeight="true" outlineLevel="0" collapsed="false">
      <c r="A29" s="40" t="str">
        <f aca="false">IF(Touchpoints!A30="","",Touchpoints!A30)</f>
        <v>TP25</v>
      </c>
      <c r="B29" s="41" t="str">
        <f aca="false">IF(Touchpoints!B30="","",Touchpoints!B30)</f>
        <v/>
      </c>
      <c r="C29" s="42"/>
      <c r="D29" s="42"/>
      <c r="E29" s="42"/>
      <c r="F29" s="42"/>
      <c r="G29" s="42"/>
      <c r="H29" s="42"/>
    </row>
    <row r="31" customFormat="false" ht="60" hidden="false" customHeight="true" outlineLevel="0" collapsed="false">
      <c r="A31" s="43" t="s">
        <v>218</v>
      </c>
      <c r="B31" s="8" t="s">
        <v>219</v>
      </c>
      <c r="C31" s="42"/>
      <c r="D31" s="42"/>
      <c r="E31" s="42"/>
      <c r="F31" s="42"/>
      <c r="G31" s="42"/>
      <c r="H31" s="42"/>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4" min="2" style="1" width="16"/>
  </cols>
  <sheetData>
    <row r="1" customFormat="false" ht="19.5" hidden="false" customHeight="true" outlineLevel="0" collapsed="false">
      <c r="A1" s="2" t="s">
        <v>220</v>
      </c>
    </row>
    <row r="2" customFormat="false" ht="15" hidden="false" customHeight="true" outlineLevel="0" collapsed="false">
      <c r="A2" s="6" t="s">
        <v>221</v>
      </c>
      <c r="B2" s="6"/>
      <c r="C2" s="6"/>
      <c r="D2" s="6"/>
    </row>
    <row r="4" customFormat="false" ht="15" hidden="false" customHeight="true" outlineLevel="0" collapsed="false">
      <c r="A4" s="21" t="s">
        <v>222</v>
      </c>
      <c r="B4" s="44" t="str">
        <f aca="false">Parámetros!B5</f>
        <v>Ingeniería del Software</v>
      </c>
    </row>
    <row r="5" customFormat="false" ht="15" hidden="false" customHeight="true" outlineLevel="0" collapsed="false">
      <c r="A5" s="21" t="s">
        <v>223</v>
      </c>
      <c r="B5" s="44" t="str">
        <f aca="false">Parámetros!B7</f>
        <v>María López (coordinadora) + Juan García (profesor)</v>
      </c>
    </row>
    <row r="6" customFormat="false" ht="15" hidden="false" customHeight="true" outlineLevel="0" collapsed="false">
      <c r="A6" s="21" t="s">
        <v>224</v>
      </c>
      <c r="B6" s="44" t="n">
        <f aca="false">Parámetros!B10</f>
        <v>40</v>
      </c>
    </row>
    <row r="8" customFormat="false" ht="21.75" hidden="false" customHeight="true" outlineLevel="0" collapsed="false">
      <c r="A8" s="45" t="s">
        <v>225</v>
      </c>
      <c r="B8" s="45"/>
      <c r="C8" s="45"/>
      <c r="D8" s="45"/>
    </row>
    <row r="10" customFormat="false" ht="15" hidden="false" customHeight="true" outlineLevel="0" collapsed="false">
      <c r="A10" s="12" t="s">
        <v>226</v>
      </c>
      <c r="B10" s="46" t="n">
        <f aca="false">COUNTIF(Touchpoints!B6:B30,"&lt;&gt;")</f>
        <v>8</v>
      </c>
    </row>
    <row r="11" customFormat="false" ht="15" hidden="false" customHeight="true" outlineLevel="0" collapsed="false">
      <c r="A11" s="12" t="s">
        <v>227</v>
      </c>
      <c r="B11" s="36" t="n">
        <f aca="false">SUM(Touchpoints!P6:P30)</f>
        <v>280</v>
      </c>
    </row>
    <row r="12" customFormat="false" ht="15" hidden="false" customHeight="true" outlineLevel="0" collapsed="false">
      <c r="A12" s="12" t="s">
        <v>228</v>
      </c>
      <c r="B12" s="36" t="n">
        <f aca="false">SUM(Touchpoints!U6:U30)</f>
        <v>249.4</v>
      </c>
    </row>
    <row r="13" customFormat="false" ht="15" hidden="false" customHeight="true" outlineLevel="0" collapsed="false">
      <c r="A13" s="12" t="s">
        <v>229</v>
      </c>
      <c r="B13" s="47" t="n">
        <f aca="false">B11-B12</f>
        <v>30.6</v>
      </c>
    </row>
    <row r="14" customFormat="false" ht="15" hidden="false" customHeight="true" outlineLevel="0" collapsed="false">
      <c r="A14" s="12" t="s">
        <v>230</v>
      </c>
      <c r="B14" s="48" t="n">
        <f aca="false">IFERROR(IF(B11&gt;0,B13/B11,0),0)</f>
        <v>0.109285714285714</v>
      </c>
    </row>
    <row r="15" customFormat="false" ht="15" hidden="false" customHeight="true" outlineLevel="0" collapsed="false">
      <c r="A15" s="12" t="s">
        <v>231</v>
      </c>
      <c r="B15" s="36" t="n">
        <f aca="false">SUM(Touchpoints!AC6:AC30)</f>
        <v>87</v>
      </c>
    </row>
    <row r="16" customFormat="false" ht="15" hidden="false" customHeight="true" outlineLevel="0" collapsed="false">
      <c r="A16" s="12" t="s">
        <v>232</v>
      </c>
      <c r="B16" s="36" t="n">
        <f aca="false">SUM(Touchpoints!K6:K30)</f>
        <v>100</v>
      </c>
    </row>
    <row r="18" customFormat="false" ht="21.75" hidden="false" customHeight="true" outlineLevel="0" collapsed="false">
      <c r="A18" s="45" t="s">
        <v>233</v>
      </c>
      <c r="B18" s="45"/>
      <c r="C18" s="45"/>
      <c r="D18" s="45"/>
    </row>
    <row r="20" customFormat="false" ht="15" hidden="false" customHeight="true" outlineLevel="0" collapsed="false">
      <c r="A20" s="7" t="s">
        <v>234</v>
      </c>
      <c r="B20" s="7" t="s">
        <v>235</v>
      </c>
      <c r="C20" s="7" t="s">
        <v>236</v>
      </c>
      <c r="D20" s="7" t="s">
        <v>237</v>
      </c>
    </row>
    <row r="21" customFormat="false" ht="15" hidden="false" customHeight="true" outlineLevel="0" collapsed="false">
      <c r="A21" s="12" t="s">
        <v>238</v>
      </c>
      <c r="B21" s="36" t="n">
        <f aca="false">SUM(Touchpoints!L6:L30)</f>
        <v>27</v>
      </c>
      <c r="C21" s="36" t="n">
        <f aca="false">SUMPRODUCT(IF(Touchpoints!Q6:Q30="",Touchpoints!L6:L30,Touchpoints!Q6:Q30))</f>
        <v>26</v>
      </c>
      <c r="D21" s="47" t="n">
        <f aca="false">B21-C21</f>
        <v>1</v>
      </c>
    </row>
    <row r="22" customFormat="false" ht="15" hidden="false" customHeight="true" outlineLevel="0" collapsed="false">
      <c r="A22" s="12" t="s">
        <v>239</v>
      </c>
      <c r="B22" s="36" t="n">
        <f aca="false">SUMPRODUCT(Touchpoints!H6:H30,Touchpoints!M6:M30)</f>
        <v>13</v>
      </c>
      <c r="C22" s="36" t="n">
        <f aca="false">SUMPRODUCT(Touchpoints!H6:H30,IF(Touchpoints!R6:R30="",Touchpoints!M6:M30,Touchpoints!R6:R30))</f>
        <v>11.4</v>
      </c>
      <c r="D22" s="47" t="n">
        <f aca="false">B22-C22</f>
        <v>1.6</v>
      </c>
    </row>
    <row r="23" customFormat="false" ht="15" hidden="false" customHeight="true" outlineLevel="0" collapsed="false">
      <c r="A23" s="12" t="s">
        <v>240</v>
      </c>
      <c r="B23" s="36" t="n">
        <f aca="false">SUMPRODUCT(Touchpoints!H6:H30,Touchpoints!N6:N30)*Parámetros!B10</f>
        <v>172</v>
      </c>
      <c r="C23" s="36" t="n">
        <f aca="false">SUMPRODUCT(Touchpoints!H6:H30,IF(Touchpoints!S6:S30="",Touchpoints!N6:N30,Touchpoints!S6:S30))*Parámetros!B10</f>
        <v>156</v>
      </c>
      <c r="D23" s="47" t="n">
        <f aca="false">B23-C23</f>
        <v>16</v>
      </c>
    </row>
    <row r="24" customFormat="false" ht="23.25" hidden="false" customHeight="true" outlineLevel="0" collapsed="false">
      <c r="A24" s="12" t="s">
        <v>241</v>
      </c>
      <c r="B24" s="36" t="n">
        <f aca="false">SUMPRODUCT(Touchpoints!H6:H30,Touchpoints!O6:O30)*Parámetros!B10</f>
        <v>68</v>
      </c>
      <c r="C24" s="36" t="n">
        <f aca="false">SUMPRODUCT(Touchpoints!H6:H30,IF(Touchpoints!T6:T30="",Touchpoints!O6:O30,Touchpoints!T6:T30))*Parámetros!B10</f>
        <v>56</v>
      </c>
      <c r="D24" s="47" t="n">
        <f aca="false">B24-C24</f>
        <v>12</v>
      </c>
    </row>
    <row r="27" customFormat="false" ht="21.75" hidden="false" customHeight="true" outlineLevel="0" collapsed="false">
      <c r="A27" s="45" t="s">
        <v>242</v>
      </c>
      <c r="B27" s="45"/>
      <c r="C27" s="45"/>
      <c r="D27" s="45"/>
    </row>
    <row r="29" customFormat="false" ht="23.25" hidden="false" customHeight="true" outlineLevel="0" collapsed="false">
      <c r="A29" s="7" t="s">
        <v>71</v>
      </c>
      <c r="B29" s="7" t="s">
        <v>243</v>
      </c>
      <c r="C29" s="7" t="s">
        <v>244</v>
      </c>
      <c r="D29" s="7" t="s">
        <v>245</v>
      </c>
    </row>
    <row r="30" customFormat="false" ht="15" hidden="false" customHeight="true" outlineLevel="0" collapsed="false">
      <c r="A30" s="12" t="s">
        <v>92</v>
      </c>
      <c r="B30" s="46" t="n">
        <f aca="false">COUNTIF(Touchpoints!D6:D30,"Formativo")</f>
        <v>3</v>
      </c>
      <c r="C30" s="36" t="n">
        <f aca="false">SUMIF(Touchpoints!D6:D30,"Formativo",Touchpoints!K6:K30)</f>
        <v>0</v>
      </c>
      <c r="D30" s="36" t="n">
        <f aca="false">SUMIF(Touchpoints!D6:D30,"Formativo",Touchpoints!P6:P30)</f>
        <v>83.5</v>
      </c>
    </row>
    <row r="31" customFormat="false" ht="15" hidden="false" customHeight="true" outlineLevel="0" collapsed="false">
      <c r="A31" s="12" t="s">
        <v>81</v>
      </c>
      <c r="B31" s="46" t="n">
        <f aca="false">COUNTIF(Touchpoints!D6:D30,"Sumativo")</f>
        <v>3</v>
      </c>
      <c r="C31" s="36" t="n">
        <f aca="false">SUMIF(Touchpoints!D6:D30,"Sumativo",Touchpoints!K6:K30)</f>
        <v>80</v>
      </c>
      <c r="D31" s="36" t="n">
        <f aca="false">SUMIF(Touchpoints!D6:D30,"Sumativo",Touchpoints!P6:P30)</f>
        <v>117.5</v>
      </c>
    </row>
    <row r="32" customFormat="false" ht="15" hidden="false" customHeight="true" outlineLevel="0" collapsed="false">
      <c r="A32" s="12" t="s">
        <v>86</v>
      </c>
      <c r="B32" s="46" t="n">
        <f aca="false">COUNTIF(Touchpoints!D6:D30,"Mixto")</f>
        <v>2</v>
      </c>
      <c r="C32" s="36" t="n">
        <f aca="false">SUMIF(Touchpoints!D6:D30,"Mixto",Touchpoints!K6:K30)</f>
        <v>20</v>
      </c>
      <c r="D32" s="36" t="n">
        <f aca="false">SUMIF(Touchpoints!D6:D30,"Mixto",Touchpoints!P6:P30)</f>
        <v>79</v>
      </c>
    </row>
    <row r="35" customFormat="false" ht="21.75" hidden="false" customHeight="true" outlineLevel="0" collapsed="false">
      <c r="A35" s="45" t="s">
        <v>246</v>
      </c>
      <c r="B35" s="45"/>
      <c r="C35" s="45"/>
      <c r="D35" s="45"/>
    </row>
    <row r="37" customFormat="false" ht="19.5" hidden="false" customHeight="true" outlineLevel="0" collapsed="false">
      <c r="A37" s="12" t="s">
        <v>247</v>
      </c>
      <c r="B37" s="49" t="str">
        <f aca="false">IF(ABS(B16-100)&lt;0.5,"OK — suma 100%","Revisar — suma "&amp;TEXT(B16,"0.0")&amp;"%")</f>
        <v>OK — suma 100%</v>
      </c>
      <c r="C37" s="49"/>
      <c r="D37" s="49"/>
    </row>
    <row r="38" customFormat="false" ht="19.5" hidden="false" customHeight="true" outlineLevel="0" collapsed="false">
      <c r="A38" s="12" t="s">
        <v>248</v>
      </c>
      <c r="B38" s="49" t="str">
        <f aca="false">IF(B10&gt;=1,"OK","Añade touchpoints en la hoja Touchpoints")</f>
        <v>OK</v>
      </c>
      <c r="C38" s="49"/>
      <c r="D38" s="49"/>
    </row>
    <row r="39" customFormat="false" ht="19.5" hidden="false" customHeight="true" outlineLevel="0" collapsed="false">
      <c r="A39" s="12" t="s">
        <v>249</v>
      </c>
      <c r="B39" s="49" t="str">
        <f aca="false">IF(COUNTIF(Touchpoints!D6:D30,"Formativo")&gt;=1,"OK","Recomendado: añadir al menos un formativo")</f>
        <v>OK</v>
      </c>
      <c r="C39" s="49"/>
      <c r="D39" s="49"/>
    </row>
    <row r="40" customFormat="false" ht="19.5" hidden="false" customHeight="true" outlineLevel="0" collapsed="false">
      <c r="A40" s="12" t="s">
        <v>250</v>
      </c>
      <c r="B40" s="49" t="str">
        <f aca="false">IF(B12&lt;=B11+0.01,"OK","Revisar — la hipótesis con IA supera la línea base")</f>
        <v>OK</v>
      </c>
      <c r="C40" s="49"/>
      <c r="D40" s="49"/>
    </row>
    <row r="41" customFormat="false" ht="19.5" hidden="false" customHeight="true" outlineLevel="0" collapsed="false">
      <c r="A41" s="12" t="s">
        <v>251</v>
      </c>
      <c r="B41" s="49" t="str">
        <f aca="false">IF(SUM(Touchpoints!Q6:T30)&gt;0,"OK — hipótesis declarada","Sin hipótesis IA · todo impacto cero")</f>
        <v>OK — hipótesis declarada</v>
      </c>
      <c r="C41" s="49"/>
      <c r="D41" s="49"/>
    </row>
  </sheetData>
  <mergeCells count="10">
    <mergeCell ref="A2:D2"/>
    <mergeCell ref="A8:D8"/>
    <mergeCell ref="A18:D18"/>
    <mergeCell ref="A27:D27"/>
    <mergeCell ref="A35:D35"/>
    <mergeCell ref="B37:D37"/>
    <mergeCell ref="B38:D38"/>
    <mergeCell ref="B39:D39"/>
    <mergeCell ref="B40:D40"/>
    <mergeCell ref="B41:D41"/>
  </mergeCells>
  <conditionalFormatting sqref="B37">
    <cfRule type="expression" priority="2" aboveAverage="0" equalAverage="0" bottom="0" percent="0" rank="0" text="" dxfId="0">
      <formula>ISNUMBER(SEARCH("Revisar",B37))</formula>
    </cfRule>
  </conditionalFormatting>
  <conditionalFormatting sqref="B38">
    <cfRule type="expression" priority="3" aboveAverage="0" equalAverage="0" bottom="0" percent="0" rank="0" text="" dxfId="0">
      <formula>ISNUMBER(SEARCH("Revisar",B38))</formula>
    </cfRule>
  </conditionalFormatting>
  <conditionalFormatting sqref="B39">
    <cfRule type="expression" priority="4" aboveAverage="0" equalAverage="0" bottom="0" percent="0" rank="0" text="" dxfId="0">
      <formula>ISNUMBER(SEARCH("Revisar",B39))</formula>
    </cfRule>
  </conditionalFormatting>
  <conditionalFormatting sqref="B40">
    <cfRule type="expression" priority="5" aboveAverage="0" equalAverage="0" bottom="0" percent="0" rank="0" text="" dxfId="0">
      <formula>ISNUMBER(SEARCH("Revisar",B40))</formula>
    </cfRule>
  </conditionalFormatting>
  <conditionalFormatting sqref="B41">
    <cfRule type="expression" priority="6" aboveAverage="0" equalAverage="0" bottom="0" percent="0" rank="0" text="" dxfId="0">
      <formula>ISNUMBER(SEARCH("Revisar",B41))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sheetPr filterMode="false">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6" min="2" style="1" width="16"/>
  </cols>
  <sheetData>
    <row r="1" customFormat="false" ht="19.5" hidden="false" customHeight="true" outlineLevel="0" collapsed="false">
      <c r="A1" s="2" t="s">
        <v>272</v>
      </c>
    </row>
    <row r="2" customFormat="false" ht="15" hidden="false" customHeight="true" outlineLevel="0" collapsed="false">
      <c r="A2" s="6" t="s">
        <v>273</v>
      </c>
      <c r="B2" s="6"/>
      <c r="C2" s="6"/>
      <c r="D2" s="6"/>
      <c r="E2" s="6"/>
      <c r="F2" s="6"/>
    </row>
    <row r="4" customFormat="false" ht="19.5" hidden="false" customHeight="true" outlineLevel="0" collapsed="false">
      <c r="A4" s="45" t="s">
        <v>274</v>
      </c>
      <c r="B4" s="45"/>
      <c r="C4" s="45"/>
      <c r="D4" s="45"/>
      <c r="E4" s="45"/>
      <c r="F4" s="45"/>
    </row>
    <row r="6" customFormat="false" ht="21.75" hidden="false" customHeight="true" outlineLevel="0" collapsed="false">
      <c r="A6" s="12" t="s">
        <v>275</v>
      </c>
      <c r="B6" s="53" t="n">
        <f aca="false">Resumen!B11</f>
        <v>280</v>
      </c>
    </row>
    <row r="7" customFormat="false" ht="21.75" hidden="false" customHeight="true" outlineLevel="0" collapsed="false">
      <c r="A7" s="12" t="s">
        <v>276</v>
      </c>
      <c r="B7" s="53" t="n">
        <f aca="false">Resumen!B12</f>
        <v>249.4</v>
      </c>
    </row>
    <row r="8" customFormat="false" ht="21.75" hidden="false" customHeight="true" outlineLevel="0" collapsed="false">
      <c r="A8" s="12" t="s">
        <v>277</v>
      </c>
      <c r="B8" s="53" t="n">
        <f aca="false">Resumen!B13</f>
        <v>30.6</v>
      </c>
    </row>
    <row r="9" customFormat="false" ht="21.75" hidden="false" customHeight="true" outlineLevel="0" collapsed="false">
      <c r="A9" s="12" t="s">
        <v>230</v>
      </c>
      <c r="B9" s="54" t="n">
        <f aca="false">Resumen!B14</f>
        <v>0.109285714285714</v>
      </c>
    </row>
    <row r="12" customFormat="false" ht="19.5" hidden="false" customHeight="true" outlineLevel="0" collapsed="false">
      <c r="A12" s="45" t="s">
        <v>278</v>
      </c>
      <c r="B12" s="45"/>
      <c r="C12" s="45"/>
      <c r="D12" s="45"/>
      <c r="E12" s="45"/>
      <c r="F12" s="45"/>
    </row>
    <row r="14" customFormat="false" ht="15" hidden="false" customHeight="true" outlineLevel="0" collapsed="false">
      <c r="A14" s="7" t="s">
        <v>126</v>
      </c>
      <c r="B14" s="7" t="s">
        <v>279</v>
      </c>
      <c r="C14" s="7" t="s">
        <v>280</v>
      </c>
      <c r="D14" s="7" t="s">
        <v>281</v>
      </c>
    </row>
    <row r="15" customFormat="false" ht="15" hidden="false" customHeight="true" outlineLevel="0" collapsed="false">
      <c r="A15" s="12" t="s">
        <v>187</v>
      </c>
      <c r="B15" s="36" t="n">
        <f aca="false">SUMIF(Touchpoints!G6:G30,"Coordinador",Touchpoints!P6:P30)</f>
        <v>4.5</v>
      </c>
      <c r="C15" s="36" t="n">
        <f aca="false">SUMIF(Touchpoints!G6:G30,"Coordinador",Touchpoints!U6:U30)</f>
        <v>2.9</v>
      </c>
      <c r="D15" s="47" t="n">
        <f aca="false">B15-C15</f>
        <v>1.6</v>
      </c>
    </row>
    <row r="16" customFormat="false" ht="15" hidden="false" customHeight="true" outlineLevel="0" collapsed="false">
      <c r="A16" s="12" t="s">
        <v>145</v>
      </c>
      <c r="B16" s="36" t="n">
        <f aca="false">SUMIF(Touchpoints!G6:G30,"Profesor",Touchpoints!P6:P30)</f>
        <v>202</v>
      </c>
      <c r="C16" s="36" t="n">
        <f aca="false">SUMIF(Touchpoints!G6:G30,"Profesor",Touchpoints!U6:U30)</f>
        <v>191</v>
      </c>
      <c r="D16" s="47" t="n">
        <f aca="false">B16-C16</f>
        <v>11</v>
      </c>
    </row>
    <row r="17" customFormat="false" ht="15" hidden="false" customHeight="true" outlineLevel="0" collapsed="false">
      <c r="A17" s="12" t="s">
        <v>169</v>
      </c>
      <c r="B17" s="36" t="n">
        <f aca="false">SUMIF(Touchpoints!G6:G30,"Ambos",Touchpoints!P6:P30)</f>
        <v>73.5</v>
      </c>
      <c r="C17" s="36" t="n">
        <f aca="false">SUMIF(Touchpoints!G6:G30,"Ambos",Touchpoints!U6:U30)</f>
        <v>55.5</v>
      </c>
      <c r="D17" s="47" t="n">
        <f aca="false">B17-C17</f>
        <v>18</v>
      </c>
    </row>
    <row r="18" customFormat="false" ht="15" hidden="false" customHeight="true" outlineLevel="0" collapsed="false">
      <c r="A18" s="12" t="s">
        <v>282</v>
      </c>
      <c r="B18" s="36" t="n">
        <f aca="false">SUMPRODUCT((Touchpoints!B6:B30&lt;&gt;"")*(Touchpoints!G6:G30="")*Touchpoints!P6:P30)</f>
        <v>0</v>
      </c>
      <c r="C18" s="36" t="n">
        <f aca="false">SUMPRODUCT((Touchpoints!B6:B30&lt;&gt;"")*(Touchpoints!G6:G30="")*Touchpoints!U6:U30)</f>
        <v>0</v>
      </c>
      <c r="D18" s="47" t="n">
        <f aca="false">B18-C18</f>
        <v>0</v>
      </c>
    </row>
    <row r="21" customFormat="false" ht="19.5" hidden="false" customHeight="true" outlineLevel="0" collapsed="false">
      <c r="A21" s="45" t="inlineStr">
        <is>
          <t xml:space="preserve">Reparto semanal · se lee en el Panel</t>
        </is>
      </c>
      <c r="E21" s="45"/>
      <c r="F21" s="45"/>
    </row>
    <row r="23" customFormat="false" ht="15" hidden="false" customHeight="true" outlineLevel="0" collapsed="false">
      <c r="A23" t="inlineStr">
        <is>
          <t xml:space="preserve">Este libro ya no calcula la curva semanal. Antes descartaba en silencio todo lo que caía fuera de las 15 semanas: la corrección de un touchpoint que termina en la semana 15 desaparecía entera.</t>
        </is>
      </c>
      <c r="E23" s="7" t="s">
        <v>287</v>
      </c>
    </row>
    <row r="24" customFormat="false" ht="15" hidden="false" customHeight="true" outlineLevel="0" collapsed="false">
      <c r="A24" t="inlineStr">
        <is>
          <t xml:space="preserve">Sube este mismo archivo al Panel del plan operativo · redisena-evaluacion.pages.dev/kit y obtendrás el calendario semana a semana, las semanas de pico y las semanas de cierre posteriores al final de la docencia.</t>
        </is>
      </c>
      <c r="E24" s="36" t="n">
        <f aca="false">Parámetros!$B$18</f>
        <v>15</v>
      </c>
    </row>
    <row r="25" customFormat="false" ht="15" hidden="false" customHeight="true" outlineLevel="0" collapsed="false">
      <c r="E25" s="36" t="n">
        <f aca="false">Parámetros!$B$18</f>
        <v>15</v>
      </c>
    </row>
    <row r="26" customFormat="false" ht="15" hidden="false" customHeight="true" outlineLevel="0" collapsed="false">
      <c r="E26" s="36" t="n">
        <f aca="false">Parámetros!$B$18</f>
        <v>15</v>
      </c>
    </row>
    <row r="27" customFormat="false" ht="15" hidden="false" customHeight="true" outlineLevel="0" collapsed="false">
      <c r="E27" s="36" t="n">
        <f aca="false">Parámetros!$B$18</f>
        <v>15</v>
      </c>
    </row>
    <row r="28" customFormat="false" ht="15" hidden="false" customHeight="true" outlineLevel="0" collapsed="false">
      <c r="E28" s="36" t="n">
        <f aca="false">Parámetros!$B$18</f>
        <v>15</v>
      </c>
    </row>
    <row r="29" customFormat="false" ht="15" hidden="false" customHeight="true" outlineLevel="0" collapsed="false">
      <c r="E29" s="36" t="n">
        <f aca="false">Parámetros!$B$18</f>
        <v>15</v>
      </c>
    </row>
    <row r="30" customFormat="false" ht="15" hidden="false" customHeight="true" outlineLevel="0" collapsed="false">
      <c r="E30" s="36" t="n">
        <f aca="false">Parámetros!$B$18</f>
        <v>15</v>
      </c>
    </row>
    <row r="31" customFormat="false" ht="15" hidden="false" customHeight="true" outlineLevel="0" collapsed="false">
      <c r="E31" s="36" t="n">
        <f aca="false">Parámetros!$B$18</f>
        <v>15</v>
      </c>
    </row>
    <row r="32" customFormat="false" ht="15" hidden="false" customHeight="true" outlineLevel="0" collapsed="false">
      <c r="E32" s="36" t="n">
        <f aca="false">Parámetros!$B$18</f>
        <v>15</v>
      </c>
    </row>
    <row r="33" customFormat="false" ht="15" hidden="false" customHeight="true" outlineLevel="0" collapsed="false">
      <c r="E33" s="36" t="n">
        <f aca="false">Parámetros!$B$18</f>
        <v>15</v>
      </c>
    </row>
    <row r="34" customFormat="false" ht="15" hidden="false" customHeight="true" outlineLevel="0" collapsed="false">
      <c r="E34" s="36" t="n">
        <f aca="false">Parámetros!$B$18</f>
        <v>15</v>
      </c>
    </row>
    <row r="35" customFormat="false" ht="15" hidden="false" customHeight="true" outlineLevel="0" collapsed="false">
      <c r="E35" s="36" t="n">
        <f aca="false">Parámetros!$B$18</f>
        <v>15</v>
      </c>
    </row>
    <row r="36" customFormat="false" ht="15" hidden="false" customHeight="true" outlineLevel="0" collapsed="false">
      <c r="E36" s="36" t="n">
        <f aca="false">Parámetros!$B$18</f>
        <v>15</v>
      </c>
    </row>
    <row r="37" customFormat="false" ht="15" hidden="false" customHeight="true" outlineLevel="0" collapsed="false">
      <c r="E37" s="36" t="n">
        <f aca="false">Parámetros!$B$18</f>
        <v>15</v>
      </c>
    </row>
    <row r="38" customFormat="false" ht="15" hidden="false" customHeight="true" outlineLevel="0" collapsed="false">
      <c r="E38" s="36" t="n">
        <f aca="false">Parámetros!$B$18</f>
        <v>15</v>
      </c>
    </row>
    <row r="41" customFormat="false" ht="15" hidden="false" customHeight="false" outlineLevel="0" collapsed="false">
      <c r="A41" s="56" t="s">
        <v>288</v>
      </c>
    </row>
    <row r="42" customFormat="false" ht="15" hidden="false" customHeight="false" outlineLevel="0" collapsed="false">
      <c r="A42" s="57" t="s">
        <v>63</v>
      </c>
      <c r="B42" s="58" t="n">
        <f aca="false">Parámetros!$B$20</f>
        <v>10</v>
      </c>
    </row>
    <row r="43" customFormat="false" ht="15" hidden="false" customHeight="false" outlineLevel="0" collapsed="false">
      <c r="A43" s="57" t="s">
        <v>42</v>
      </c>
      <c r="B43" s="58" t="n">
        <f aca="false">Parámetros!$B$11</f>
        <v>15</v>
      </c>
    </row>
    <row r="44" customFormat="false" ht="15" hidden="false" customHeight="false" outlineLevel="0" collapsed="false">
      <c r="A44" s="57" t="s">
        <v>289</v>
      </c>
      <c r="B44" s="58" t="n">
        <f aca="false">Parámetros!$B$20*Parámetros!$B$11</f>
        <v>150</v>
      </c>
    </row>
    <row r="45" customFormat="false" ht="15" hidden="false" customHeight="false" outlineLevel="0" collapsed="false">
      <c r="A45" s="57" t="s">
        <v>290</v>
      </c>
      <c r="B45" s="59" t="n">
        <f aca="false">IFERROR(B6/B44,0)</f>
        <v>1.86666666666667</v>
      </c>
    </row>
    <row r="46" customFormat="false" ht="15" hidden="false" customHeight="false" outlineLevel="0" collapsed="false">
      <c r="A46" s="57" t="s">
        <v>291</v>
      </c>
      <c r="B46" s="59" t="n">
        <f aca="false">IFERROR(B7/B44,0)</f>
        <v>1.66266666666667</v>
      </c>
    </row>
    <row r="47" customFormat="false" ht="15" hidden="false" customHeight="false" outlineLevel="0" collapsed="false">
      <c r="A47" s="57" t="s">
        <v>59</v>
      </c>
      <c r="B47" s="58" t="n">
        <f aca="false">Parámetros!$B$18</f>
        <v>15</v>
      </c>
    </row>
    <row r="49" customFormat="false" ht="15" hidden="false" customHeight="false" outlineLevel="0" collapsed="false">
      <c r="A49" s="60" t="s">
        <v>292</v>
      </c>
    </row>
  </sheetData>
  <mergeCells count="4">
    <mergeCell ref="A2:F2"/>
    <mergeCell ref="A4:F4"/>
    <mergeCell ref="A12:F12"/>
    <mergeCell ref="A21:F21"/>
  </mergeCells>
  <conditionalFormatting sqref="B24:B38">
    <cfRule type="cellIs" priority="2" operator="greaterThan" aboveAverage="0" equalAverage="0" bottom="0" percent="0" rank="0" text="" dxfId="1">
      <formula>$E$24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6" min="2" style="1" width="16"/>
  </cols>
  <sheetData>
    <row r="1" customFormat="false" ht="19.5" hidden="false" customHeight="true" outlineLevel="0" collapsed="false">
      <c r="A1" s="2" t="s">
        <v>293</v>
      </c>
    </row>
    <row r="2" customFormat="false" ht="15" hidden="false" customHeight="true" outlineLevel="0" collapsed="false">
      <c r="A2" s="6" t="s">
        <v>294</v>
      </c>
      <c r="B2" s="6"/>
      <c r="C2" s="6"/>
      <c r="D2" s="6"/>
      <c r="E2" s="6"/>
      <c r="F2" s="6"/>
    </row>
    <row r="4" customFormat="false" ht="19.5" hidden="false" customHeight="true" outlineLevel="0" collapsed="false">
      <c r="A4" s="45" t="s">
        <v>274</v>
      </c>
      <c r="B4" s="45"/>
      <c r="C4" s="45"/>
      <c r="D4" s="45"/>
      <c r="E4" s="45"/>
      <c r="F4" s="45"/>
    </row>
    <row r="6" customFormat="false" ht="21.75" hidden="false" customHeight="true" outlineLevel="0" collapsed="false">
      <c r="A6" s="12" t="s">
        <v>55</v>
      </c>
      <c r="B6" s="61" t="n">
        <f aca="false">Parámetros!B16</f>
        <v>6</v>
      </c>
    </row>
    <row r="7" customFormat="false" ht="21.75" hidden="false" customHeight="true" outlineLevel="0" collapsed="false">
      <c r="A7" s="12" t="s">
        <v>57</v>
      </c>
      <c r="B7" s="61" t="n">
        <f aca="false">Parámetros!B17</f>
        <v>25</v>
      </c>
    </row>
    <row r="8" customFormat="false" ht="21.75" hidden="false" customHeight="true" outlineLevel="0" collapsed="false">
      <c r="A8" s="12" t="s">
        <v>295</v>
      </c>
      <c r="B8" s="53" t="n">
        <f aca="false">Parámetros!B16*Parámetros!B17</f>
        <v>150</v>
      </c>
    </row>
    <row r="9" customFormat="false" ht="21.75" hidden="false" customHeight="true" outlineLevel="0" collapsed="false">
      <c r="A9" s="12" t="s">
        <v>296</v>
      </c>
      <c r="B9" s="53" t="n">
        <f aca="false">Resumen!B15</f>
        <v>87</v>
      </c>
    </row>
    <row r="10" customFormat="false" ht="21.75" hidden="false" customHeight="true" outlineLevel="0" collapsed="false">
      <c r="A10" s="12" t="s">
        <v>297</v>
      </c>
      <c r="B10" s="53" t="n">
        <f aca="false">(Parámetros!B16*Parámetros!B17)-Resumen!B15</f>
        <v>63</v>
      </c>
    </row>
    <row r="11" customFormat="false" ht="21.75" hidden="false" customHeight="true" outlineLevel="0" collapsed="false">
      <c r="A11" s="12" t="s">
        <v>298</v>
      </c>
      <c r="B11" s="54" t="n">
        <f aca="false">IFERROR(Resumen!B15/(Parámetros!B16*Parámetros!B17),0)</f>
        <v>0.58</v>
      </c>
    </row>
    <row r="14" customFormat="false" ht="19.5" hidden="false" customHeight="true" outlineLevel="0" collapsed="false">
      <c r="A14" s="45" t="inlineStr">
        <is>
          <t xml:space="preserve">Solapamiento de sumativos por semana</t>
        </is>
      </c>
      <c r="B14" s="45" t="inlineStr">
        <is>
          <t xml:space="preserve">Las horas por semana se leen en el Panel. Aquí queda solo el aviso de solapamiento, que no depende de la curva.</t>
        </is>
      </c>
      <c r="C14" s="45"/>
      <c r="D14" s="45"/>
      <c r="E14" s="45"/>
      <c r="F14" s="45"/>
    </row>
    <row r="16" customFormat="false" ht="23.25" hidden="false" customHeight="true" outlineLevel="0" collapsed="false">
      <c r="A16" s="7" t="s">
        <v>284</v>
      </c>
      <c r="E16" s="7" t="s">
        <v>302</v>
      </c>
    </row>
    <row r="17" customFormat="false" ht="15" hidden="false" customHeight="true" outlineLevel="0" collapsed="false">
      <c r="A17" s="11" t="s">
        <v>254</v>
      </c>
      <c r="E17" s="46" t="n">
        <f aca="false">SUMPRODUCT(((Touchpoints!D6:D30="Sumativo")+(Touchpoints!D6:D30="Mixto"))*(Touchpoints!I6:I30&lt;=1)*(Touchpoints!J6:J30&gt;=1)*(Touchpoints!B6:B30&lt;&gt;""))</f>
        <v>0</v>
      </c>
    </row>
    <row r="18" customFormat="false" ht="15" hidden="false" customHeight="true" outlineLevel="0" collapsed="false">
      <c r="A18" s="11" t="s">
        <v>255</v>
      </c>
      <c r="E18" s="46" t="n">
        <f aca="false">SUMPRODUCT(((Touchpoints!D6:D30="Sumativo")+(Touchpoints!D6:D30="Mixto"))*(Touchpoints!I6:I30&lt;=2)*(Touchpoints!J6:J30&gt;=2)*(Touchpoints!B6:B30&lt;&gt;""))</f>
        <v>0</v>
      </c>
    </row>
    <row r="19" customFormat="false" ht="15" hidden="false" customHeight="true" outlineLevel="0" collapsed="false">
      <c r="A19" s="11" t="s">
        <v>256</v>
      </c>
      <c r="E19" s="46" t="n">
        <f aca="false">SUMPRODUCT(((Touchpoints!D6:D30="Sumativo")+(Touchpoints!D6:D30="Mixto"))*(Touchpoints!I6:I30&lt;=3)*(Touchpoints!J6:J30&gt;=3)*(Touchpoints!B6:B30&lt;&gt;""))</f>
        <v>0</v>
      </c>
    </row>
    <row r="20" customFormat="false" ht="15" hidden="false" customHeight="true" outlineLevel="0" collapsed="false">
      <c r="A20" s="11" t="s">
        <v>257</v>
      </c>
      <c r="E20" s="46" t="n">
        <f aca="false">SUMPRODUCT(((Touchpoints!D6:D30="Sumativo")+(Touchpoints!D6:D30="Mixto"))*(Touchpoints!I6:I30&lt;=4)*(Touchpoints!J6:J30&gt;=4)*(Touchpoints!B6:B30&lt;&gt;""))</f>
        <v>1</v>
      </c>
    </row>
    <row r="21" customFormat="false" ht="15" hidden="false" customHeight="true" outlineLevel="0" collapsed="false">
      <c r="A21" s="11" t="s">
        <v>258</v>
      </c>
      <c r="E21" s="46" t="n">
        <f aca="false">SUMPRODUCT(((Touchpoints!D6:D30="Sumativo")+(Touchpoints!D6:D30="Mixto"))*(Touchpoints!I6:I30&lt;=5)*(Touchpoints!J6:J30&gt;=5)*(Touchpoints!B6:B30&lt;&gt;""))</f>
        <v>0</v>
      </c>
    </row>
    <row r="22" customFormat="false" ht="15" hidden="false" customHeight="true" outlineLevel="0" collapsed="false">
      <c r="A22" s="11" t="s">
        <v>259</v>
      </c>
      <c r="E22" s="46" t="n">
        <f aca="false">SUMPRODUCT(((Touchpoints!D6:D30="Sumativo")+(Touchpoints!D6:D30="Mixto"))*(Touchpoints!I6:I30&lt;=6)*(Touchpoints!J6:J30&gt;=6)*(Touchpoints!B6:B30&lt;&gt;""))</f>
        <v>0</v>
      </c>
    </row>
    <row r="23" customFormat="false" ht="15" hidden="false" customHeight="true" outlineLevel="0" collapsed="false">
      <c r="A23" s="11" t="s">
        <v>260</v>
      </c>
      <c r="E23" s="46" t="n">
        <f aca="false">SUMPRODUCT(((Touchpoints!D6:D30="Sumativo")+(Touchpoints!D6:D30="Mixto"))*(Touchpoints!I6:I30&lt;=7)*(Touchpoints!J6:J30&gt;=7)*(Touchpoints!B6:B30&lt;&gt;""))</f>
        <v>0</v>
      </c>
    </row>
    <row r="24" customFormat="false" ht="15" hidden="false" customHeight="true" outlineLevel="0" collapsed="false">
      <c r="A24" s="11" t="s">
        <v>261</v>
      </c>
      <c r="E24" s="46" t="n">
        <f aca="false">SUMPRODUCT(((Touchpoints!D6:D30="Sumativo")+(Touchpoints!D6:D30="Mixto"))*(Touchpoints!I6:I30&lt;=8)*(Touchpoints!J6:J30&gt;=8)*(Touchpoints!B6:B30&lt;&gt;""))</f>
        <v>1</v>
      </c>
    </row>
    <row r="25" customFormat="false" ht="15" hidden="false" customHeight="true" outlineLevel="0" collapsed="false">
      <c r="A25" s="11" t="s">
        <v>262</v>
      </c>
      <c r="E25" s="46" t="n">
        <f aca="false">SUMPRODUCT(((Touchpoints!D6:D30="Sumativo")+(Touchpoints!D6:D30="Mixto"))*(Touchpoints!I6:I30&lt;=9)*(Touchpoints!J6:J30&gt;=9)*(Touchpoints!B6:B30&lt;&gt;""))</f>
        <v>0</v>
      </c>
    </row>
    <row r="26" customFormat="false" ht="15" hidden="false" customHeight="true" outlineLevel="0" collapsed="false">
      <c r="A26" s="11" t="s">
        <v>263</v>
      </c>
      <c r="E26" s="46" t="n">
        <f aca="false">SUMPRODUCT(((Touchpoints!D6:D30="Sumativo")+(Touchpoints!D6:D30="Mixto"))*(Touchpoints!I6:I30&lt;=10)*(Touchpoints!J6:J30&gt;=10)*(Touchpoints!B6:B30&lt;&gt;""))</f>
        <v>1</v>
      </c>
    </row>
    <row r="27" customFormat="false" ht="15" hidden="false" customHeight="true" outlineLevel="0" collapsed="false">
      <c r="A27" s="11" t="s">
        <v>264</v>
      </c>
      <c r="E27" s="46" t="n">
        <f aca="false">SUMPRODUCT(((Touchpoints!D6:D30="Sumativo")+(Touchpoints!D6:D30="Mixto"))*(Touchpoints!I6:I30&lt;=11)*(Touchpoints!J6:J30&gt;=11)*(Touchpoints!B6:B30&lt;&gt;""))</f>
        <v>0</v>
      </c>
    </row>
    <row r="28" customFormat="false" ht="15" hidden="false" customHeight="true" outlineLevel="0" collapsed="false">
      <c r="A28" s="11" t="s">
        <v>265</v>
      </c>
      <c r="E28" s="46" t="n">
        <f aca="false">SUMPRODUCT(((Touchpoints!D6:D30="Sumativo")+(Touchpoints!D6:D30="Mixto"))*(Touchpoints!I6:I30&lt;=12)*(Touchpoints!J6:J30&gt;=12)*(Touchpoints!B6:B30&lt;&gt;""))</f>
        <v>0</v>
      </c>
    </row>
    <row r="29" customFormat="false" ht="15" hidden="false" customHeight="true" outlineLevel="0" collapsed="false">
      <c r="A29" s="11" t="s">
        <v>266</v>
      </c>
      <c r="E29" s="46" t="n">
        <f aca="false">SUMPRODUCT(((Touchpoints!D6:D30="Sumativo")+(Touchpoints!D6:D30="Mixto"))*(Touchpoints!I6:I30&lt;=13)*(Touchpoints!J6:J30&gt;=13)*(Touchpoints!B6:B30&lt;&gt;""))</f>
        <v>1</v>
      </c>
    </row>
    <row r="30" customFormat="false" ht="15" hidden="false" customHeight="true" outlineLevel="0" collapsed="false">
      <c r="A30" s="11" t="s">
        <v>267</v>
      </c>
      <c r="E30" s="46" t="n">
        <f aca="false">SUMPRODUCT(((Touchpoints!D6:D30="Sumativo")+(Touchpoints!D6:D30="Mixto"))*(Touchpoints!I6:I30&lt;=14)*(Touchpoints!J6:J30&gt;=14)*(Touchpoints!B6:B30&lt;&gt;""))</f>
        <v>0</v>
      </c>
    </row>
    <row r="31" customFormat="false" ht="15" hidden="false" customHeight="true" outlineLevel="0" collapsed="false">
      <c r="A31" s="11" t="s">
        <v>268</v>
      </c>
      <c r="E31" s="46" t="n">
        <f aca="false">SUMPRODUCT(((Touchpoints!D6:D30="Sumativo")+(Touchpoints!D6:D30="Mixto"))*(Touchpoints!I6:I30&lt;=15)*(Touchpoints!J6:J30&gt;=15)*(Touchpoints!B6:B30&lt;&gt;""))</f>
        <v>1</v>
      </c>
    </row>
  </sheetData>
  <mergeCells count="3">
    <mergeCell ref="A2:F2"/>
    <mergeCell ref="A4:F4"/>
    <mergeCell ref="A14:F14"/>
  </mergeCells>
  <conditionalFormatting sqref="B11">
    <cfRule type="cellIs" priority="2" operator="lessThan" aboveAverage="0" equalAverage="0" bottom="0" percent="0" rank="0" text="" dxfId="1">
      <formula>0</formula>
    </cfRule>
  </conditionalFormatting>
  <conditionalFormatting sqref="B17:B31">
    <cfRule type="cellIs" priority="3" operator="greaterThan" aboveAverage="0" equalAverage="0" bottom="0" percent="0" rank="0" text="" dxfId="1">
      <formula>$D$17</formula>
    </cfRule>
  </conditionalFormatting>
  <conditionalFormatting sqref="E17:E31">
    <cfRule type="cellIs" priority="4" operator="greaterThan" aboveAverage="0" equalAverage="0" bottom="0" percent="0" rank="0" text="" dxfId="1">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6" min="2" style="1" width="16"/>
  </cols>
  <sheetData>
    <row r="1" customFormat="false" ht="19.5" hidden="false" customHeight="true" outlineLevel="0" collapsed="false">
      <c r="A1" s="2" t="s">
        <v>303</v>
      </c>
    </row>
    <row r="2" customFormat="false" ht="15" hidden="false" customHeight="true" outlineLevel="0" collapsed="false">
      <c r="A2" s="6" t="s">
        <v>304</v>
      </c>
      <c r="B2" s="6"/>
      <c r="C2" s="6"/>
      <c r="D2" s="6"/>
      <c r="E2" s="6"/>
      <c r="F2" s="6"/>
    </row>
    <row r="4" customFormat="false" ht="19.5" hidden="false" customHeight="true" outlineLevel="0" collapsed="false">
      <c r="A4" s="45" t="s">
        <v>305</v>
      </c>
      <c r="B4" s="45"/>
      <c r="C4" s="45"/>
      <c r="D4" s="45"/>
      <c r="E4" s="45"/>
      <c r="F4" s="45"/>
    </row>
    <row r="6" customFormat="false" ht="15" hidden="false" customHeight="true" outlineLevel="0" collapsed="false">
      <c r="A6" s="7" t="s">
        <v>71</v>
      </c>
      <c r="B6" s="7" t="s">
        <v>306</v>
      </c>
      <c r="C6" s="7" t="s">
        <v>307</v>
      </c>
      <c r="D6" s="7" t="s">
        <v>244</v>
      </c>
      <c r="E6" s="7" t="s">
        <v>308</v>
      </c>
    </row>
    <row r="7" customFormat="false" ht="15" hidden="false" customHeight="true" outlineLevel="0" collapsed="false">
      <c r="A7" s="12" t="s">
        <v>92</v>
      </c>
      <c r="B7" s="46" t="n">
        <f aca="false">COUNTIF(Touchpoints!D6:D30,"Formativo")</f>
        <v>3</v>
      </c>
      <c r="C7" s="37" t="n">
        <f aca="false">IFERROR(B7/Resumen!B10,0)</f>
        <v>0.375</v>
      </c>
      <c r="D7" s="36" t="n">
        <f aca="false">SUMIF(Touchpoints!D6:D30,"Formativo",Touchpoints!K6:K30)</f>
        <v>0</v>
      </c>
      <c r="E7" s="36" t="n">
        <f aca="false">SUMIF(Touchpoints!D6:D30,"Formativo",Touchpoints!P6:P30)</f>
        <v>83.5</v>
      </c>
    </row>
    <row r="8" customFormat="false" ht="15" hidden="false" customHeight="true" outlineLevel="0" collapsed="false">
      <c r="A8" s="12" t="s">
        <v>81</v>
      </c>
      <c r="B8" s="46" t="n">
        <f aca="false">COUNTIF(Touchpoints!D6:D30,"Sumativo")</f>
        <v>3</v>
      </c>
      <c r="C8" s="37" t="n">
        <f aca="false">IFERROR(B8/Resumen!B10,0)</f>
        <v>0.375</v>
      </c>
      <c r="D8" s="36" t="n">
        <f aca="false">SUMIF(Touchpoints!D6:D30,"Sumativo",Touchpoints!K6:K30)</f>
        <v>80</v>
      </c>
      <c r="E8" s="36" t="n">
        <f aca="false">SUMIF(Touchpoints!D6:D30,"Sumativo",Touchpoints!P6:P30)</f>
        <v>117.5</v>
      </c>
    </row>
    <row r="9" customFormat="false" ht="15" hidden="false" customHeight="true" outlineLevel="0" collapsed="false">
      <c r="A9" s="12" t="s">
        <v>86</v>
      </c>
      <c r="B9" s="46" t="n">
        <f aca="false">COUNTIF(Touchpoints!D6:D30,"Mixto")</f>
        <v>2</v>
      </c>
      <c r="C9" s="37" t="n">
        <f aca="false">IFERROR(B9/Resumen!B10,0)</f>
        <v>0.25</v>
      </c>
      <c r="D9" s="36" t="n">
        <f aca="false">SUMIF(Touchpoints!D6:D30,"Mixto",Touchpoints!K6:K30)</f>
        <v>20</v>
      </c>
      <c r="E9" s="36" t="n">
        <f aca="false">SUMIF(Touchpoints!D6:D30,"Mixto",Touchpoints!P6:P30)</f>
        <v>79</v>
      </c>
    </row>
    <row r="12" customFormat="false" ht="19.5" hidden="false" customHeight="true" outlineLevel="0" collapsed="false">
      <c r="A12" s="45" t="s">
        <v>309</v>
      </c>
      <c r="B12" s="45"/>
      <c r="C12" s="45"/>
      <c r="D12" s="45"/>
      <c r="E12" s="45"/>
      <c r="F12" s="45"/>
    </row>
    <row r="14" customFormat="false" ht="15" hidden="false" customHeight="true" outlineLevel="0" collapsed="false">
      <c r="A14" s="7" t="s">
        <v>284</v>
      </c>
      <c r="B14" s="7" t="s">
        <v>310</v>
      </c>
      <c r="C14" s="7" t="s">
        <v>311</v>
      </c>
      <c r="D14" s="7" t="s">
        <v>312</v>
      </c>
    </row>
    <row r="15" customFormat="false" ht="15" hidden="false" customHeight="true" outlineLevel="0" collapsed="false">
      <c r="A15" s="11" t="s">
        <v>254</v>
      </c>
      <c r="B15" s="46" t="n">
        <f aca="false">SUMPRODUCT((Touchpoints!D6:D30="Formativo")*(Touchpoints!I6:I30=1)*(Touchpoints!B6:B30&lt;&gt;""))</f>
        <v>1</v>
      </c>
      <c r="C15" s="46" t="n">
        <f aca="false">SUMPRODUCT((Touchpoints!D6:D30="Sumativo")*(Touchpoints!I6:I30=1)*(Touchpoints!B6:B30&lt;&gt;""))</f>
        <v>0</v>
      </c>
      <c r="D15" s="46" t="n">
        <f aca="false">SUMPRODUCT((Touchpoints!D6:D30="Mixto")*(Touchpoints!I6:I30=1)*(Touchpoints!B6:B30&lt;&gt;""))</f>
        <v>0</v>
      </c>
    </row>
    <row r="16" customFormat="false" ht="15" hidden="false" customHeight="true" outlineLevel="0" collapsed="false">
      <c r="A16" s="11" t="s">
        <v>255</v>
      </c>
      <c r="B16" s="46" t="n">
        <f aca="false">SUMPRODUCT((Touchpoints!D6:D30="Formativo")*(Touchpoints!I6:I30=2)*(Touchpoints!B6:B30&lt;&gt;""))</f>
        <v>1</v>
      </c>
      <c r="C16" s="46" t="n">
        <f aca="false">SUMPRODUCT((Touchpoints!D6:D30="Sumativo")*(Touchpoints!I6:I30=2)*(Touchpoints!B6:B30&lt;&gt;""))</f>
        <v>0</v>
      </c>
      <c r="D16" s="46" t="n">
        <f aca="false">SUMPRODUCT((Touchpoints!D6:D30="Mixto")*(Touchpoints!I6:I30=2)*(Touchpoints!B6:B30&lt;&gt;""))</f>
        <v>0</v>
      </c>
    </row>
    <row r="17" customFormat="false" ht="15" hidden="false" customHeight="true" outlineLevel="0" collapsed="false">
      <c r="A17" s="11" t="s">
        <v>256</v>
      </c>
      <c r="B17" s="46" t="n">
        <f aca="false">SUMPRODUCT((Touchpoints!D6:D30="Formativo")*(Touchpoints!I6:I30=3)*(Touchpoints!B6:B30&lt;&gt;""))</f>
        <v>0</v>
      </c>
      <c r="C17" s="46" t="n">
        <f aca="false">SUMPRODUCT((Touchpoints!D6:D30="Sumativo")*(Touchpoints!I6:I30=3)*(Touchpoints!B6:B30&lt;&gt;""))</f>
        <v>0</v>
      </c>
      <c r="D17" s="46" t="n">
        <f aca="false">SUMPRODUCT((Touchpoints!D6:D30="Mixto")*(Touchpoints!I6:I30=3)*(Touchpoints!B6:B30&lt;&gt;""))</f>
        <v>0</v>
      </c>
    </row>
    <row r="18" customFormat="false" ht="15" hidden="false" customHeight="true" outlineLevel="0" collapsed="false">
      <c r="A18" s="11" t="s">
        <v>257</v>
      </c>
      <c r="B18" s="46" t="n">
        <f aca="false">SUMPRODUCT((Touchpoints!D6:D30="Formativo")*(Touchpoints!I6:I30=4)*(Touchpoints!B6:B30&lt;&gt;""))</f>
        <v>0</v>
      </c>
      <c r="C18" s="46" t="n">
        <f aca="false">SUMPRODUCT((Touchpoints!D6:D30="Sumativo")*(Touchpoints!I6:I30=4)*(Touchpoints!B6:B30&lt;&gt;""))</f>
        <v>0</v>
      </c>
      <c r="D18" s="46" t="n">
        <f aca="false">SUMPRODUCT((Touchpoints!D6:D30="Mixto")*(Touchpoints!I6:I30=4)*(Touchpoints!B6:B30&lt;&gt;""))</f>
        <v>1</v>
      </c>
    </row>
    <row r="19" customFormat="false" ht="15" hidden="false" customHeight="true" outlineLevel="0" collapsed="false">
      <c r="A19" s="11" t="s">
        <v>258</v>
      </c>
      <c r="B19" s="46" t="n">
        <f aca="false">SUMPRODUCT((Touchpoints!D6:D30="Formativo")*(Touchpoints!I6:I30=5)*(Touchpoints!B6:B30&lt;&gt;""))</f>
        <v>0</v>
      </c>
      <c r="C19" s="46" t="n">
        <f aca="false">SUMPRODUCT((Touchpoints!D6:D30="Sumativo")*(Touchpoints!I6:I30=5)*(Touchpoints!B6:B30&lt;&gt;""))</f>
        <v>0</v>
      </c>
      <c r="D19" s="46" t="n">
        <f aca="false">SUMPRODUCT((Touchpoints!D6:D30="Mixto")*(Touchpoints!I6:I30=5)*(Touchpoints!B6:B30&lt;&gt;""))</f>
        <v>0</v>
      </c>
    </row>
    <row r="20" customFormat="false" ht="15" hidden="false" customHeight="true" outlineLevel="0" collapsed="false">
      <c r="A20" s="11" t="s">
        <v>259</v>
      </c>
      <c r="B20" s="46" t="n">
        <f aca="false">SUMPRODUCT((Touchpoints!D6:D30="Formativo")*(Touchpoints!I6:I30=6)*(Touchpoints!B6:B30&lt;&gt;""))</f>
        <v>1</v>
      </c>
      <c r="C20" s="46" t="n">
        <f aca="false">SUMPRODUCT((Touchpoints!D6:D30="Sumativo")*(Touchpoints!I6:I30=6)*(Touchpoints!B6:B30&lt;&gt;""))</f>
        <v>0</v>
      </c>
      <c r="D20" s="46" t="n">
        <f aca="false">SUMPRODUCT((Touchpoints!D6:D30="Mixto")*(Touchpoints!I6:I30=6)*(Touchpoints!B6:B30&lt;&gt;""))</f>
        <v>0</v>
      </c>
    </row>
    <row r="21" customFormat="false" ht="15" hidden="false" customHeight="true" outlineLevel="0" collapsed="false">
      <c r="A21" s="11" t="s">
        <v>260</v>
      </c>
      <c r="B21" s="46" t="n">
        <f aca="false">SUMPRODUCT((Touchpoints!D6:D30="Formativo")*(Touchpoints!I6:I30=7)*(Touchpoints!B6:B30&lt;&gt;""))</f>
        <v>0</v>
      </c>
      <c r="C21" s="46" t="n">
        <f aca="false">SUMPRODUCT((Touchpoints!D6:D30="Sumativo")*(Touchpoints!I6:I30=7)*(Touchpoints!B6:B30&lt;&gt;""))</f>
        <v>0</v>
      </c>
      <c r="D21" s="46" t="n">
        <f aca="false">SUMPRODUCT((Touchpoints!D6:D30="Mixto")*(Touchpoints!I6:I30=7)*(Touchpoints!B6:B30&lt;&gt;""))</f>
        <v>0</v>
      </c>
    </row>
    <row r="22" customFormat="false" ht="15" hidden="false" customHeight="true" outlineLevel="0" collapsed="false">
      <c r="A22" s="11" t="s">
        <v>261</v>
      </c>
      <c r="B22" s="46" t="n">
        <f aca="false">SUMPRODUCT((Touchpoints!D6:D30="Formativo")*(Touchpoints!I6:I30=8)*(Touchpoints!B6:B30&lt;&gt;""))</f>
        <v>0</v>
      </c>
      <c r="C22" s="46" t="n">
        <f aca="false">SUMPRODUCT((Touchpoints!D6:D30="Sumativo")*(Touchpoints!I6:I30=8)*(Touchpoints!B6:B30&lt;&gt;""))</f>
        <v>1</v>
      </c>
      <c r="D22" s="46" t="n">
        <f aca="false">SUMPRODUCT((Touchpoints!D6:D30="Mixto")*(Touchpoints!I6:I30=8)*(Touchpoints!B6:B30&lt;&gt;""))</f>
        <v>0</v>
      </c>
    </row>
    <row r="23" customFormat="false" ht="15" hidden="false" customHeight="true" outlineLevel="0" collapsed="false">
      <c r="A23" s="11" t="s">
        <v>262</v>
      </c>
      <c r="B23" s="46" t="n">
        <f aca="false">SUMPRODUCT((Touchpoints!D6:D30="Formativo")*(Touchpoints!I6:I30=9)*(Touchpoints!B6:B30&lt;&gt;""))</f>
        <v>0</v>
      </c>
      <c r="C23" s="46" t="n">
        <f aca="false">SUMPRODUCT((Touchpoints!D6:D30="Sumativo")*(Touchpoints!I6:I30=9)*(Touchpoints!B6:B30&lt;&gt;""))</f>
        <v>0</v>
      </c>
      <c r="D23" s="46" t="n">
        <f aca="false">SUMPRODUCT((Touchpoints!D6:D30="Mixto")*(Touchpoints!I6:I30=9)*(Touchpoints!B6:B30&lt;&gt;""))</f>
        <v>0</v>
      </c>
    </row>
    <row r="24" customFormat="false" ht="15" hidden="false" customHeight="true" outlineLevel="0" collapsed="false">
      <c r="A24" s="11" t="s">
        <v>263</v>
      </c>
      <c r="B24" s="46" t="n">
        <f aca="false">SUMPRODUCT((Touchpoints!D6:D30="Formativo")*(Touchpoints!I6:I30=10)*(Touchpoints!B6:B30&lt;&gt;""))</f>
        <v>0</v>
      </c>
      <c r="C24" s="46" t="n">
        <f aca="false">SUMPRODUCT((Touchpoints!D6:D30="Sumativo")*(Touchpoints!I6:I30=10)*(Touchpoints!B6:B30&lt;&gt;""))</f>
        <v>0</v>
      </c>
      <c r="D24" s="46" t="n">
        <f aca="false">SUMPRODUCT((Touchpoints!D6:D30="Mixto")*(Touchpoints!I6:I30=10)*(Touchpoints!B6:B30&lt;&gt;""))</f>
        <v>1</v>
      </c>
    </row>
    <row r="25" customFormat="false" ht="15" hidden="false" customHeight="true" outlineLevel="0" collapsed="false">
      <c r="A25" s="11" t="s">
        <v>264</v>
      </c>
      <c r="B25" s="46" t="n">
        <f aca="false">SUMPRODUCT((Touchpoints!D6:D30="Formativo")*(Touchpoints!I6:I30=11)*(Touchpoints!B6:B30&lt;&gt;""))</f>
        <v>0</v>
      </c>
      <c r="C25" s="46" t="n">
        <f aca="false">SUMPRODUCT((Touchpoints!D6:D30="Sumativo")*(Touchpoints!I6:I30=11)*(Touchpoints!B6:B30&lt;&gt;""))</f>
        <v>0</v>
      </c>
      <c r="D25" s="46" t="n">
        <f aca="false">SUMPRODUCT((Touchpoints!D6:D30="Mixto")*(Touchpoints!I6:I30=11)*(Touchpoints!B6:B30&lt;&gt;""))</f>
        <v>0</v>
      </c>
    </row>
    <row r="26" customFormat="false" ht="15" hidden="false" customHeight="true" outlineLevel="0" collapsed="false">
      <c r="A26" s="11" t="s">
        <v>265</v>
      </c>
      <c r="B26" s="46" t="n">
        <f aca="false">SUMPRODUCT((Touchpoints!D6:D30="Formativo")*(Touchpoints!I6:I30=12)*(Touchpoints!B6:B30&lt;&gt;""))</f>
        <v>0</v>
      </c>
      <c r="C26" s="46" t="n">
        <f aca="false">SUMPRODUCT((Touchpoints!D6:D30="Sumativo")*(Touchpoints!I6:I30=12)*(Touchpoints!B6:B30&lt;&gt;""))</f>
        <v>0</v>
      </c>
      <c r="D26" s="46" t="n">
        <f aca="false">SUMPRODUCT((Touchpoints!D6:D30="Mixto")*(Touchpoints!I6:I30=12)*(Touchpoints!B6:B30&lt;&gt;""))</f>
        <v>0</v>
      </c>
    </row>
    <row r="27" customFormat="false" ht="15" hidden="false" customHeight="true" outlineLevel="0" collapsed="false">
      <c r="A27" s="11" t="s">
        <v>266</v>
      </c>
      <c r="B27" s="46" t="n">
        <f aca="false">SUMPRODUCT((Touchpoints!D6:D30="Formativo")*(Touchpoints!I6:I30=13)*(Touchpoints!B6:B30&lt;&gt;""))</f>
        <v>0</v>
      </c>
      <c r="C27" s="46" t="n">
        <f aca="false">SUMPRODUCT((Touchpoints!D6:D30="Sumativo")*(Touchpoints!I6:I30=13)*(Touchpoints!B6:B30&lt;&gt;""))</f>
        <v>1</v>
      </c>
      <c r="D27" s="46" t="n">
        <f aca="false">SUMPRODUCT((Touchpoints!D6:D30="Mixto")*(Touchpoints!I6:I30=13)*(Touchpoints!B6:B30&lt;&gt;""))</f>
        <v>0</v>
      </c>
    </row>
    <row r="28" customFormat="false" ht="15" hidden="false" customHeight="true" outlineLevel="0" collapsed="false">
      <c r="A28" s="11" t="s">
        <v>267</v>
      </c>
      <c r="B28" s="46" t="n">
        <f aca="false">SUMPRODUCT((Touchpoints!D6:D30="Formativo")*(Touchpoints!I6:I30=14)*(Touchpoints!B6:B30&lt;&gt;""))</f>
        <v>0</v>
      </c>
      <c r="C28" s="46" t="n">
        <f aca="false">SUMPRODUCT((Touchpoints!D6:D30="Sumativo")*(Touchpoints!I6:I30=14)*(Touchpoints!B6:B30&lt;&gt;""))</f>
        <v>0</v>
      </c>
      <c r="D28" s="46" t="n">
        <f aca="false">SUMPRODUCT((Touchpoints!D6:D30="Mixto")*(Touchpoints!I6:I30=14)*(Touchpoints!B6:B30&lt;&gt;""))</f>
        <v>0</v>
      </c>
    </row>
    <row r="29" customFormat="false" ht="15" hidden="false" customHeight="true" outlineLevel="0" collapsed="false">
      <c r="A29" s="11" t="s">
        <v>268</v>
      </c>
      <c r="B29" s="46" t="n">
        <f aca="false">SUMPRODUCT((Touchpoints!D6:D30="Formativo")*(Touchpoints!I6:I30=15)*(Touchpoints!B6:B30&lt;&gt;""))</f>
        <v>0</v>
      </c>
      <c r="C29" s="46" t="n">
        <f aca="false">SUMPRODUCT((Touchpoints!D6:D30="Sumativo")*(Touchpoints!I6:I30=15)*(Touchpoints!B6:B30&lt;&gt;""))</f>
        <v>1</v>
      </c>
      <c r="D29" s="46" t="n">
        <f aca="false">SUMPRODUCT((Touchpoints!D6:D30="Mixto")*(Touchpoints!I6:I30=15)*(Touchpoints!B6:B30&lt;&gt;""))</f>
        <v>0</v>
      </c>
    </row>
    <row r="31" customFormat="false" ht="19.5" hidden="false" customHeight="true" outlineLevel="0" collapsed="false">
      <c r="A31" s="45" t="s">
        <v>313</v>
      </c>
      <c r="B31" s="45"/>
      <c r="C31" s="45"/>
      <c r="D31" s="45"/>
      <c r="E31" s="45"/>
      <c r="F31" s="45"/>
    </row>
    <row r="33" customFormat="false" ht="21.75" hidden="false" customHeight="true" outlineLevel="0" collapsed="false">
      <c r="A33" s="12" t="s">
        <v>314</v>
      </c>
      <c r="B33" s="49" t="str">
        <f aca="false">IF(OR(COUNTIF(Touchpoints!D6:D30,"Sumativo")=0,IFERROR(aggregate(15,6,Touchpoints!I6:I30/((Touchpoints!D6:D30="Formativo")*(Touchpoints!B6:B30&lt;&gt;"")),1),9999)&lt;=IFERROR(aggregate(15,6,Touchpoints!I6:I30/((Touchpoints!D6:D30="Sumativo")*(Touchpoints!B6:B30&lt;&gt;"")),1),9999)),"OK","Revisar — el primer sumativo ocurre antes que cualquier formativo")</f>
        <v>OK</v>
      </c>
      <c r="C33" s="49"/>
      <c r="D33" s="49"/>
      <c r="E33" s="49"/>
      <c r="F33" s="49"/>
    </row>
    <row r="34" customFormat="false" ht="21.75" hidden="false" customHeight="true" outlineLevel="0" collapsed="false">
      <c r="A34" s="12" t="s">
        <v>315</v>
      </c>
      <c r="B34" s="49" t="str">
        <f aca="false">IF(ABS(Resumen!B16-100)&lt;0.5,"OK","Revisar — suma "&amp;TEXT(Resumen!B16,"0.0")&amp;"%")</f>
        <v>OK</v>
      </c>
      <c r="C34" s="49"/>
      <c r="D34" s="49"/>
      <c r="E34" s="49"/>
      <c r="F34" s="49"/>
    </row>
    <row r="35" customFormat="false" ht="21.75" hidden="false" customHeight="true" outlineLevel="0" collapsed="false">
      <c r="A35" s="12" t="s">
        <v>316</v>
      </c>
      <c r="B35" s="49" t="str">
        <f aca="false">IF(IFERROR(B7/Resumen!B10,0)&gt;=0.3,"OK","Recomendado — el plan es mayoritariamente sumativo")</f>
        <v>OK</v>
      </c>
      <c r="C35" s="49"/>
      <c r="D35" s="49"/>
      <c r="E35" s="49"/>
      <c r="F35" s="49"/>
    </row>
  </sheetData>
  <mergeCells count="7">
    <mergeCell ref="A2:F2"/>
    <mergeCell ref="A4:F4"/>
    <mergeCell ref="A12:F12"/>
    <mergeCell ref="A31:F31"/>
    <mergeCell ref="B33:F33"/>
    <mergeCell ref="B34:F34"/>
    <mergeCell ref="B35:F35"/>
  </mergeCells>
  <conditionalFormatting sqref="B33">
    <cfRule type="expression" priority="2" aboveAverage="0" equalAverage="0" bottom="0" percent="0" rank="0" text="" dxfId="0">
      <formula>ISNUMBER(SEARCH("Revisar",B33))</formula>
    </cfRule>
    <cfRule type="expression" priority="3" aboveAverage="0" equalAverage="0" bottom="0" percent="0" rank="0" text="" dxfId="2">
      <formula>ISNUMBER(SEARCH("Recomendado",B33))</formula>
    </cfRule>
  </conditionalFormatting>
  <conditionalFormatting sqref="B34">
    <cfRule type="expression" priority="4" aboveAverage="0" equalAverage="0" bottom="0" percent="0" rank="0" text="" dxfId="0">
      <formula>ISNUMBER(SEARCH("Revisar",B34))</formula>
    </cfRule>
    <cfRule type="expression" priority="5" aboveAverage="0" equalAverage="0" bottom="0" percent="0" rank="0" text="" dxfId="2">
      <formula>ISNUMBER(SEARCH("Recomendado",B34))</formula>
    </cfRule>
  </conditionalFormatting>
  <conditionalFormatting sqref="B35">
    <cfRule type="expression" priority="6" aboveAverage="0" equalAverage="0" bottom="0" percent="0" rank="0" text="" dxfId="0">
      <formula>ISNUMBER(SEARCH("Revisar",B35))</formula>
    </cfRule>
    <cfRule type="expression" priority="7" aboveAverage="0" equalAverage="0" bottom="0" percent="0" rank="0" text="" dxfId="2">
      <formula>ISNUMBER(SEARCH("Recomendado",B35))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50"/>
    <col collapsed="false" customWidth="true" hidden="false" outlineLevel="0" max="3" min="3" style="1" width="40"/>
    <col collapsed="false" customWidth="true" hidden="false" outlineLevel="0" max="4" min="4" style="1" width="15"/>
  </cols>
  <sheetData>
    <row r="1" customFormat="false" ht="19.5" hidden="false" customHeight="true" outlineLevel="0" collapsed="false">
      <c r="A1" s="2" t="s">
        <v>317</v>
      </c>
    </row>
    <row r="2" customFormat="false" ht="15" hidden="false" customHeight="true" outlineLevel="0" collapsed="false">
      <c r="A2" s="6" t="s">
        <v>318</v>
      </c>
      <c r="B2" s="6"/>
      <c r="C2" s="6"/>
      <c r="D2" s="6"/>
    </row>
    <row r="4" customFormat="false" ht="15" hidden="false" customHeight="true" outlineLevel="0" collapsed="false">
      <c r="A4" s="7" t="s">
        <v>319</v>
      </c>
      <c r="B4" s="7" t="s">
        <v>320</v>
      </c>
      <c r="C4" s="7" t="s">
        <v>321</v>
      </c>
      <c r="D4" s="7" t="s">
        <v>27</v>
      </c>
    </row>
    <row r="5" customFormat="false" ht="21.75" hidden="false" customHeight="true" outlineLevel="0" collapsed="false">
      <c r="A5" s="8" t="s">
        <v>322</v>
      </c>
      <c r="B5" s="12" t="inlineStr">
        <is>
          <t xml:space="preserve">Consumo del presupuesto docente · línea base</t>
        </is>
      </c>
      <c r="C5" s="49">
        <f>=IF('Lente 1 · Carga docente'!B45&gt;0.7,"⚠ No cabe · por encima del 70 %",IF('Lente 1 · Carga docente'!B45&gt;0.4,"⚠ Ajustado · entre el 40 % y el 70 %","OK · por debajo del 40 %"))</f>
      </c>
      <c r="D5" s="59">
        <f>='Lente 1 · Carga docente'!B45</f>
      </c>
    </row>
    <row r="6" customFormat="false" ht="21.75" hidden="false" customHeight="true" outlineLevel="0" collapsed="false">
      <c r="A6" s="8" t="s">
        <v>322</v>
      </c>
      <c r="B6" s="12" t="s">
        <v>251</v>
      </c>
      <c r="C6" s="49" t="str">
        <f aca="false">IF(SUM(Touchpoints!Q6:T30)&gt;0,"OK — hipótesis declarada","⚠ Sin hipótesis IA")</f>
        <v>OK — hipótesis declarada</v>
      </c>
      <c r="D6" s="37" t="n">
        <f aca="false">Resumen!B14</f>
        <v>0.109285714285714</v>
      </c>
    </row>
    <row r="7" customFormat="false" ht="21.75" hidden="false" customHeight="true" outlineLevel="0" collapsed="false">
      <c r="A7" s="8" t="s">
        <v>324</v>
      </c>
      <c r="B7" s="12" t="s">
        <v>325</v>
      </c>
      <c r="C7" s="49" t="str">
        <f aca="false">IF(((Parámetros!B16*Parámetros!B17)-Resumen!B15)&gt;=0,"OK","⚠ Supera presupuesto ECTS")</f>
        <v>OK</v>
      </c>
      <c r="D7" s="55" t="n">
        <f aca="false">(Parámetros!B16*Parámetros!B17)-Resumen!B15</f>
        <v>63</v>
      </c>
    </row>
    <row r="8" customFormat="false" ht="21.75" hidden="false" customHeight="true" outlineLevel="0" collapsed="false">
      <c r="A8" s="8" t="inlineStr">
        <is>
          <t xml:space="preserve">Lente 1 · docente</t>
        </is>
      </c>
      <c r="B8" s="12" t="inlineStr">
        <is>
          <t xml:space="preserve">Consumo del presupuesto docente · hipótesis con IA</t>
        </is>
      </c>
      <c r="C8" s="49">
        <f>=IF('Lente 1 · Carga docente'!B46&gt;0.7,"⚠ No cabe · por encima del 70 %",IF('Lente 1 · Carga docente'!B46&gt;0.4,"⚠ Ajustado · entre el 40 % y el 70 %","OK · por debajo del 40 %"))</f>
      </c>
      <c r="D8" s="59">
        <f>='Lente 1 · Carga docente'!B46</f>
      </c>
    </row>
    <row r="9" customFormat="false" ht="21.75" hidden="false" customHeight="true" outlineLevel="0" collapsed="false">
      <c r="A9" s="8" t="s">
        <v>324</v>
      </c>
      <c r="B9" s="12" t="s">
        <v>327</v>
      </c>
      <c r="C9" s="49" t="str">
        <f aca="false">IF(MAX('Lente 2 · Carga estudiante'!E17:E31)&gt;1,"⚠ Solapamiento","OK")</f>
        <v>OK</v>
      </c>
      <c r="D9" s="55" t="n">
        <f aca="false">MAX('Lente 2 · Carga estudiante'!E17:E31)</f>
        <v>1</v>
      </c>
    </row>
    <row r="10" customFormat="false" ht="21.75" hidden="false" customHeight="true" outlineLevel="0" collapsed="false">
      <c r="A10" s="8" t="s">
        <v>328</v>
      </c>
      <c r="B10" s="12" t="s">
        <v>329</v>
      </c>
      <c r="C10" s="49" t="str">
        <f aca="false">'Lente 3 · Equilibrio F-S'!B33</f>
        <v>OK</v>
      </c>
      <c r="D10" s="55"/>
    </row>
    <row r="11" customFormat="false" ht="21.75" hidden="false" customHeight="true" outlineLevel="0" collapsed="false">
      <c r="A11" s="8" t="s">
        <v>328</v>
      </c>
      <c r="B11" s="12" t="s">
        <v>330</v>
      </c>
      <c r="C11" s="49" t="str">
        <f aca="false">'Lente 3 · Equilibrio F-S'!B34</f>
        <v>OK</v>
      </c>
      <c r="D11" s="36" t="n">
        <f aca="false">Resumen!B16</f>
        <v>100</v>
      </c>
    </row>
    <row r="12" customFormat="false" ht="21.75" hidden="false" customHeight="true" outlineLevel="0" collapsed="false">
      <c r="A12" s="8" t="s">
        <v>328</v>
      </c>
      <c r="B12" s="12" t="s">
        <v>331</v>
      </c>
      <c r="C12" s="49" t="str">
        <f aca="false">'Lente 3 · Equilibrio F-S'!B35</f>
        <v>OK</v>
      </c>
      <c r="D12" s="55" t="n">
        <f aca="false">IFERROR('Lente 3 · Equilibrio F-S'!B7/Resumen!B10,0)</f>
        <v>0.375</v>
      </c>
    </row>
    <row r="14">
      <c r="A14" t="inlineStr">
        <is>
          <t xml:space="preserve">Evaluar compite con preparar y dar la clase: hasta el 40 % de tu dedicación es sostenible, del 40 al 70 % conviene haberlo decidido a propósito, y por encima del 70 % el plan no cabe.</t>
        </is>
      </c>
    </row>
    <row r="15">
      <c r="A15" t="inlineStr">
        <is>
          <t xml:space="preserve">Los picos por semana ya no se controlan aquí: se leen en el Panel del plan operativo · redisena-evaluacion.pages.dev/kit.</t>
        </is>
      </c>
    </row>
  </sheetData>
  <mergeCells count="1">
    <mergeCell ref="A2:D2"/>
  </mergeCells>
  <conditionalFormatting sqref="C5:C12">
    <cfRule type="expression" priority="2" aboveAverage="0" equalAverage="0" bottom="0" percent="0" rank="0" text="" dxfId="0">
      <formula>OR(ISNUMBER(SEARCH("⚠",C5)),ISNUMBER(SEARCH("Revisar",C5)))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2026-04-21T22:29:15Z</dcterms:created>
  <dc:creator>openpyxl</dc:creator>
  <dc:description/>
  <dc:language>en-US</dc:language>
  <cp:lastModifiedBy/>
  <dcterms:modified xsi:type="dcterms:W3CDTF">2026-04-27T20:05:10Z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